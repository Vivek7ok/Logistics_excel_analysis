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xl/webextensions/webextension3.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https://d.docs.live.net/2ef32ab6eda15787/Documents/"/>
    </mc:Choice>
  </mc:AlternateContent>
  <xr:revisionPtr revIDLastSave="9" documentId="8_{FCB3823D-4668-4B06-879B-0662E909E5D8}" xr6:coauthVersionLast="47" xr6:coauthVersionMax="47" xr10:uidLastSave="{2CB90E73-EB5B-4D68-9C95-24FC7DA0E4A5}"/>
  <bookViews>
    <workbookView xWindow="-108" yWindow="-108" windowWidth="23256" windowHeight="12456" activeTab="3" xr2:uid="{227A9DF7-756C-46DC-9CE4-C75D098A01AE}"/>
  </bookViews>
  <sheets>
    <sheet name="Data" sheetId="10" r:id="rId1"/>
    <sheet name="Chartes" sheetId="13" r:id="rId2"/>
    <sheet name="Pivot Analysis" sheetId="17" r:id="rId3"/>
    <sheet name="Dashbored " sheetId="16" r:id="rId4"/>
  </sheets>
  <definedNames>
    <definedName name="Slicer_City">#N/A</definedName>
    <definedName name="Slicer_City1">#N/A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6" i="17" l="1"/>
  <c r="F6" i="17"/>
  <c r="E6" i="17"/>
  <c r="D6" i="17"/>
  <c r="B60" i="13"/>
  <c r="C60" i="13"/>
  <c r="B56" i="13"/>
  <c r="C56" i="13" s="1"/>
  <c r="B57" i="13"/>
  <c r="B58" i="13"/>
  <c r="C58" i="13" s="1"/>
  <c r="B59" i="13"/>
  <c r="B49" i="13"/>
  <c r="C49" i="13"/>
  <c r="D49" i="13"/>
  <c r="E49" i="13"/>
  <c r="B42" i="13"/>
  <c r="C42" i="13"/>
  <c r="D42" i="13"/>
  <c r="E42" i="13"/>
  <c r="B43" i="13"/>
  <c r="C43" i="13"/>
  <c r="D43" i="13"/>
  <c r="E43" i="13"/>
  <c r="B44" i="13"/>
  <c r="C44" i="13"/>
  <c r="D44" i="13"/>
  <c r="E44" i="13"/>
  <c r="B45" i="13"/>
  <c r="C45" i="13"/>
  <c r="D45" i="13"/>
  <c r="E45" i="13"/>
  <c r="B46" i="13"/>
  <c r="C46" i="13"/>
  <c r="D46" i="13"/>
  <c r="E46" i="13"/>
  <c r="B47" i="13"/>
  <c r="C47" i="13"/>
  <c r="D47" i="13"/>
  <c r="E47" i="13"/>
  <c r="B48" i="13"/>
  <c r="C48" i="13"/>
  <c r="D48" i="13"/>
  <c r="E48" i="13"/>
  <c r="B36" i="13"/>
  <c r="C36" i="13"/>
  <c r="D36" i="13"/>
  <c r="B30" i="13"/>
  <c r="C30" i="13"/>
  <c r="D30" i="13"/>
  <c r="B31" i="13"/>
  <c r="C31" i="13"/>
  <c r="D31" i="13"/>
  <c r="B32" i="13"/>
  <c r="C32" i="13"/>
  <c r="D32" i="13"/>
  <c r="B33" i="13"/>
  <c r="C33" i="13"/>
  <c r="D33" i="13"/>
  <c r="B34" i="13"/>
  <c r="C34" i="13"/>
  <c r="D34" i="13"/>
  <c r="B35" i="13"/>
  <c r="C35" i="13"/>
  <c r="D35" i="13"/>
  <c r="B26" i="13"/>
  <c r="C26" i="13"/>
  <c r="B22" i="13"/>
  <c r="C22" i="13" s="1"/>
  <c r="B23" i="13"/>
  <c r="B24" i="13"/>
  <c r="C24" i="13" s="1"/>
  <c r="B25" i="13"/>
  <c r="C25" i="13" s="1"/>
  <c r="B16" i="13"/>
  <c r="C16" i="13"/>
  <c r="D16" i="13"/>
  <c r="E16" i="13"/>
  <c r="B9" i="13"/>
  <c r="C9" i="13"/>
  <c r="D9" i="13"/>
  <c r="E9" i="13"/>
  <c r="B10" i="13"/>
  <c r="C10" i="13"/>
  <c r="D10" i="13"/>
  <c r="E10" i="13"/>
  <c r="B11" i="13"/>
  <c r="C11" i="13"/>
  <c r="D11" i="13"/>
  <c r="E11" i="13"/>
  <c r="B12" i="13"/>
  <c r="C12" i="13"/>
  <c r="D12" i="13"/>
  <c r="E12" i="13"/>
  <c r="B13" i="13"/>
  <c r="C13" i="13"/>
  <c r="D13" i="13"/>
  <c r="E13" i="13"/>
  <c r="B14" i="13"/>
  <c r="C14" i="13"/>
  <c r="D14" i="13"/>
  <c r="E14" i="13"/>
  <c r="B15" i="13"/>
  <c r="C15" i="13"/>
  <c r="D15" i="13"/>
  <c r="E15" i="13"/>
  <c r="A5" i="13"/>
  <c r="B5" i="13"/>
  <c r="C5" i="13"/>
  <c r="D5" i="13"/>
  <c r="E5" i="13"/>
  <c r="F5" i="13"/>
  <c r="C6" i="17"/>
  <c r="B6" i="17"/>
  <c r="A6" i="17"/>
  <c r="C57" i="13" l="1"/>
  <c r="C59" i="13"/>
  <c r="C23" i="13"/>
</calcChain>
</file>

<file path=xl/sharedStrings.xml><?xml version="1.0" encoding="utf-8"?>
<sst xmlns="http://schemas.openxmlformats.org/spreadsheetml/2006/main" count="203" uniqueCount="79">
  <si>
    <t>Order_ID</t>
  </si>
  <si>
    <t>Customer_Name</t>
  </si>
  <si>
    <t>City</t>
  </si>
  <si>
    <t>Product</t>
  </si>
  <si>
    <t>Quantity</t>
  </si>
  <si>
    <t>Delivery_Status</t>
  </si>
  <si>
    <t>Delivery_Days</t>
  </si>
  <si>
    <t>Rahul Sharma</t>
  </si>
  <si>
    <t>Pune</t>
  </si>
  <si>
    <t>Laptop</t>
  </si>
  <si>
    <t>Delivered</t>
  </si>
  <si>
    <t>Sneha Patil</t>
  </si>
  <si>
    <t>Mumbai</t>
  </si>
  <si>
    <t>Mouse</t>
  </si>
  <si>
    <t>Pending</t>
  </si>
  <si>
    <t>Delhi</t>
  </si>
  <si>
    <t>Keyboard</t>
  </si>
  <si>
    <t>Priya</t>
  </si>
  <si>
    <t>Monitor</t>
  </si>
  <si>
    <t>Cancelled</t>
  </si>
  <si>
    <t>Bangalore</t>
  </si>
  <si>
    <t>Rohan Mehta</t>
  </si>
  <si>
    <t>Phone</t>
  </si>
  <si>
    <t>Kavya Singh</t>
  </si>
  <si>
    <t>Chennai</t>
  </si>
  <si>
    <t>Arjun</t>
  </si>
  <si>
    <t>Tablet</t>
  </si>
  <si>
    <t>Neha Verma</t>
  </si>
  <si>
    <t>Returned</t>
  </si>
  <si>
    <t>Vikas Patil</t>
  </si>
  <si>
    <t>Kolkata</t>
  </si>
  <si>
    <t>Sameer Khan</t>
  </si>
  <si>
    <t>Anjali</t>
  </si>
  <si>
    <t>Hyderabad</t>
  </si>
  <si>
    <t>Ravi Kumar</t>
  </si>
  <si>
    <t>Pooja Shah</t>
  </si>
  <si>
    <t>Manish Gupta</t>
  </si>
  <si>
    <t>Saniya</t>
  </si>
  <si>
    <t>Rohit</t>
  </si>
  <si>
    <t>Deepak Patil</t>
  </si>
  <si>
    <t>Meena Joshi</t>
  </si>
  <si>
    <t>Missing</t>
  </si>
  <si>
    <t>Amit</t>
  </si>
  <si>
    <t>Row Labels</t>
  </si>
  <si>
    <t>Grand Total</t>
  </si>
  <si>
    <t>Average of Delivery_Days</t>
  </si>
  <si>
    <t>Average of Quantity</t>
  </si>
  <si>
    <t>Count of Order_ID</t>
  </si>
  <si>
    <t>KPI Summary</t>
  </si>
  <si>
    <t>Delivery Performance by Product</t>
  </si>
  <si>
    <t>Delivery Performance by City</t>
  </si>
  <si>
    <t>Orders by Status</t>
  </si>
  <si>
    <t>Product Mix by Order Share</t>
  </si>
  <si>
    <t>City-Wise Delivery Dashboard</t>
  </si>
  <si>
    <t>Source: Data sheet orders | Built for quick city, product, and delivery status review</t>
  </si>
  <si>
    <t>Total Orders</t>
  </si>
  <si>
    <t>Delivered %</t>
  </si>
  <si>
    <t>Pending Orders</t>
  </si>
  <si>
    <t>Cancelled Orders</t>
  </si>
  <si>
    <t>Returned Orders</t>
  </si>
  <si>
    <t>Avg Delivery Days</t>
  </si>
  <si>
    <t>At-a-glance view: tables on the left show exact values; charts on the right show patterns.</t>
  </si>
  <si>
    <t>Green = delivered, amber = pending, orange/red = exceptions.</t>
  </si>
  <si>
    <t>Table 1 — City Performance</t>
  </si>
  <si>
    <t>Orders</t>
  </si>
  <si>
    <t>Total / Average</t>
  </si>
  <si>
    <t>Table 2 — Delivery Status Mix</t>
  </si>
  <si>
    <t>Status</t>
  </si>
  <si>
    <t>Share</t>
  </si>
  <si>
    <t>Total</t>
  </si>
  <si>
    <t>Table 3 — Product Performance</t>
  </si>
  <si>
    <t>Table 4 — City by Status</t>
  </si>
  <si>
    <t>Table 5 — Delivery Speed Bands</t>
  </si>
  <si>
    <t>Delivery Speed Band</t>
  </si>
  <si>
    <t>0–3 days</t>
  </si>
  <si>
    <t>4–7 days</t>
  </si>
  <si>
    <t>8–11 days</t>
  </si>
  <si>
    <t>12+ days</t>
  </si>
  <si>
    <t>Pivot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</si>
</sst>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0.0%"/>
  </numFmts>
  <fonts count="14" x14ac:knownFonts="1">
    <font>
      <sz val="11"/>
      <color theme="1"/>
      <name val="Calibri"/>
      <family val="2"/>
      <scheme val="minor"/>
    </font>
    <font>
      <b/>
      <sz val="11"/>
      <color theme="1"/>
      <name val="Calibri"/>
      <family val="2"/>
      <scheme val="minor"/>
    </font>
    <font>
      <b/>
      <sz val="18"/>
      <color rgb="FFFFFFFF"/>
      <name val="Calibri"/>
      <scheme val="minor"/>
    </font>
    <font>
      <i/>
      <sz val="11"/>
      <color rgb="FF1F4E79"/>
      <name val="Calibri"/>
      <scheme val="minor"/>
    </font>
    <font>
      <sz val="11"/>
      <color theme="1"/>
      <name val="Calibri"/>
      <scheme val="minor"/>
    </font>
    <font>
      <b/>
      <sz val="11"/>
      <color rgb="FFFFFFFF"/>
      <name val="Calibri"/>
      <scheme val="minor"/>
    </font>
    <font>
      <b/>
      <sz val="11"/>
      <color rgb="FF1F4E79"/>
      <name val="Calibri"/>
      <scheme val="minor"/>
    </font>
    <font>
      <b/>
      <sz val="11"/>
      <color theme="1"/>
      <name val="Calibri"/>
      <scheme val="minor"/>
    </font>
    <font>
      <b/>
      <sz val="16"/>
      <color rgb="FFFFFFFF"/>
      <name val="Calibri"/>
      <scheme val="minor"/>
    </font>
    <font>
      <b/>
      <sz val="10"/>
      <color rgb="FFFFFFFF"/>
      <name val="Calibri"/>
      <scheme val="minor"/>
    </font>
    <font>
      <sz val="10"/>
      <color theme="1"/>
      <name val="Calibri"/>
      <scheme val="minor"/>
    </font>
    <font>
      <b/>
      <sz val="10"/>
      <color rgb="FF1F4E79"/>
      <name val="Calibri"/>
      <scheme val="minor"/>
    </font>
    <font>
      <sz val="10"/>
      <color rgb="FF222222"/>
      <name val="Calibri"/>
      <scheme val="minor"/>
    </font>
    <font>
      <b/>
      <sz val="10"/>
      <color rgb="FF222222"/>
      <name val="Calibri"/>
      <scheme val="minor"/>
    </font>
  </fonts>
  <fills count="15">
    <fill>
      <patternFill patternType="none"/>
    </fill>
    <fill>
      <patternFill patternType="gray125"/>
    </fill>
    <fill>
      <patternFill patternType="solid">
        <fgColor rgb="FF1F4E79"/>
        <bgColor indexed="64"/>
      </patternFill>
    </fill>
    <fill>
      <patternFill patternType="solid">
        <fgColor rgb="FFD9EAF7"/>
        <bgColor indexed="64"/>
      </patternFill>
    </fill>
    <fill>
      <patternFill patternType="solid">
        <fgColor rgb="FF305496"/>
        <bgColor indexed="64"/>
      </patternFill>
    </fill>
    <fill>
      <patternFill patternType="solid">
        <fgColor rgb="FFEAF3F8"/>
        <bgColor indexed="64"/>
      </patternFill>
    </fill>
    <fill>
      <patternFill patternType="solid">
        <fgColor rgb="FFF2F2F2"/>
        <bgColor indexed="64"/>
      </patternFill>
    </fill>
    <fill>
      <patternFill patternType="solid">
        <fgColor rgb="FFE2F0D9"/>
        <bgColor indexed="64"/>
      </patternFill>
    </fill>
    <fill>
      <patternFill patternType="solid">
        <fgColor rgb="FFFFF2CC"/>
        <bgColor indexed="64"/>
      </patternFill>
    </fill>
    <fill>
      <patternFill patternType="solid">
        <fgColor rgb="FFFCE4D6"/>
        <bgColor indexed="64"/>
      </patternFill>
    </fill>
    <fill>
      <patternFill patternType="solid">
        <fgColor rgb="FFF4CCCC"/>
        <bgColor indexed="64"/>
      </patternFill>
    </fill>
    <fill>
      <patternFill patternType="solid">
        <fgColor rgb="FFF8FBFD"/>
        <bgColor indexed="64"/>
      </patternFill>
    </fill>
    <fill>
      <patternFill patternType="solid">
        <fgColor rgb="FFF4F8FB"/>
        <bgColor indexed="64"/>
      </patternFill>
    </fill>
    <fill>
      <patternFill patternType="solid">
        <fgColor rgb="FF4472C4"/>
        <bgColor indexed="64"/>
      </patternFill>
    </fill>
    <fill>
      <patternFill patternType="solid">
        <fgColor rgb="FFFFFFFF"/>
        <bgColor indexed="64"/>
      </patternFill>
    </fill>
  </fills>
  <borders count="28">
    <border>
      <left/>
      <right/>
      <top/>
      <bottom/>
      <diagonal/>
    </border>
    <border>
      <left style="thin">
        <color rgb="FFD9E1F2"/>
      </left>
      <right style="thin">
        <color rgb="FFE7E6E6"/>
      </right>
      <top style="thin">
        <color rgb="FFD9E1F2"/>
      </top>
      <bottom style="thin">
        <color rgb="FFE7E6E6"/>
      </bottom>
      <diagonal/>
    </border>
    <border>
      <left style="thin">
        <color rgb="FFE7E6E6"/>
      </left>
      <right style="thin">
        <color rgb="FFE7E6E6"/>
      </right>
      <top style="thin">
        <color rgb="FFD9E1F2"/>
      </top>
      <bottom style="thin">
        <color rgb="FFE7E6E6"/>
      </bottom>
      <diagonal/>
    </border>
    <border>
      <left style="thin">
        <color rgb="FFE7E6E6"/>
      </left>
      <right style="thin">
        <color rgb="FFD9E1F2"/>
      </right>
      <top style="thin">
        <color rgb="FFD9E1F2"/>
      </top>
      <bottom style="thin">
        <color rgb="FFE7E6E6"/>
      </bottom>
      <diagonal/>
    </border>
    <border>
      <left style="thin">
        <color rgb="FFD9E1F2"/>
      </left>
      <right style="thin">
        <color rgb="FFE7E6E6"/>
      </right>
      <top style="thin">
        <color rgb="FFE7E6E6"/>
      </top>
      <bottom style="thin">
        <color rgb="FFD9E1F2"/>
      </bottom>
      <diagonal/>
    </border>
    <border>
      <left style="thin">
        <color rgb="FFE7E6E6"/>
      </left>
      <right style="thin">
        <color rgb="FFE7E6E6"/>
      </right>
      <top style="thin">
        <color rgb="FFE7E6E6"/>
      </top>
      <bottom style="thin">
        <color rgb="FFD9E1F2"/>
      </bottom>
      <diagonal/>
    </border>
    <border>
      <left style="thin">
        <color rgb="FFE7E6E6"/>
      </left>
      <right style="thin">
        <color rgb="FFD9E1F2"/>
      </right>
      <top style="thin">
        <color rgb="FFE7E6E6"/>
      </top>
      <bottom style="thin">
        <color rgb="FFD9E1F2"/>
      </bottom>
      <diagonal/>
    </border>
    <border>
      <left style="thin">
        <color rgb="FFD9E1F2"/>
      </left>
      <right style="thin">
        <color rgb="FFE7E6E6"/>
      </right>
      <top style="thin">
        <color rgb="FFE7E6E6"/>
      </top>
      <bottom style="thin">
        <color rgb="FFE7E6E6"/>
      </bottom>
      <diagonal/>
    </border>
    <border>
      <left style="thin">
        <color rgb="FFE7E6E6"/>
      </left>
      <right style="thin">
        <color rgb="FFE7E6E6"/>
      </right>
      <top style="thin">
        <color rgb="FFE7E6E6"/>
      </top>
      <bottom style="thin">
        <color rgb="FFE7E6E6"/>
      </bottom>
      <diagonal/>
    </border>
    <border>
      <left style="thin">
        <color rgb="FFE7E6E6"/>
      </left>
      <right style="thin">
        <color rgb="FFD9E1F2"/>
      </right>
      <top style="thin">
        <color rgb="FFE7E6E6"/>
      </top>
      <bottom style="thin">
        <color rgb="FFE7E6E6"/>
      </bottom>
      <diagonal/>
    </border>
    <border>
      <left style="thin">
        <color rgb="FFD9E1F2"/>
      </left>
      <right style="thin">
        <color rgb="FFE7E6E6"/>
      </right>
      <top style="thin">
        <color rgb="FFE7E6E6"/>
      </top>
      <bottom/>
      <diagonal/>
    </border>
    <border>
      <left style="thin">
        <color rgb="FFE7E6E6"/>
      </left>
      <right style="thin">
        <color rgb="FFE7E6E6"/>
      </right>
      <top style="thin">
        <color rgb="FFE7E6E6"/>
      </top>
      <bottom/>
      <diagonal/>
    </border>
    <border>
      <left style="thin">
        <color rgb="FFE7E6E6"/>
      </left>
      <right style="thin">
        <color rgb="FFD9E1F2"/>
      </right>
      <top style="thin">
        <color rgb="FFE7E6E6"/>
      </top>
      <bottom/>
      <diagonal/>
    </border>
    <border>
      <left style="thin">
        <color rgb="FFBFBFBF"/>
      </left>
      <right style="thin">
        <color rgb="FFBFBFBF"/>
      </right>
      <top style="thin">
        <color rgb="FFBFBFBF"/>
      </top>
      <bottom style="thin">
        <color rgb="FFBFBFBF"/>
      </bottom>
      <diagonal/>
    </border>
    <border>
      <left/>
      <right/>
      <top style="thin">
        <color rgb="FF1F4E79"/>
      </top>
      <bottom/>
      <diagonal/>
    </border>
    <border>
      <left style="thin">
        <color rgb="FF1F4E79"/>
      </left>
      <right/>
      <top style="thin">
        <color rgb="FF1F4E79"/>
      </top>
      <bottom/>
      <diagonal/>
    </border>
    <border>
      <left/>
      <right style="thin">
        <color rgb="FF1F4E79"/>
      </right>
      <top style="thin">
        <color rgb="FF1F4E79"/>
      </top>
      <bottom/>
      <diagonal/>
    </border>
    <border>
      <left style="thin">
        <color rgb="FFBFBFBF"/>
      </left>
      <right style="thin">
        <color rgb="FFBFBFBF"/>
      </right>
      <top style="thin">
        <color rgb="FF9EADCC"/>
      </top>
      <bottom/>
      <diagonal/>
    </border>
    <border>
      <left style="thin">
        <color rgb="FF4472C4"/>
      </left>
      <right style="thin">
        <color rgb="FFBFBFBF"/>
      </right>
      <top style="thin">
        <color rgb="FF4472C4"/>
      </top>
      <bottom/>
      <diagonal/>
    </border>
    <border>
      <left style="thin">
        <color rgb="FFBFBFBF"/>
      </left>
      <right style="thin">
        <color rgb="FF4472C4"/>
      </right>
      <top style="thin">
        <color rgb="FF4472C4"/>
      </top>
      <bottom/>
      <diagonal/>
    </border>
    <border>
      <left style="thin">
        <color rgb="FFBFBFBF"/>
      </left>
      <right style="thin">
        <color rgb="FFBFBFBF"/>
      </right>
      <top style="thin">
        <color rgb="FF4472C4"/>
      </top>
      <bottom/>
      <diagonal/>
    </border>
    <border>
      <left style="thin">
        <color rgb="FFD9D9D9"/>
      </left>
      <right/>
      <top style="thin">
        <color rgb="FFBFBFBF"/>
      </top>
      <bottom style="thin">
        <color rgb="FFBFBFBF"/>
      </bottom>
      <diagonal/>
    </border>
    <border>
      <left style="thin">
        <color rgb="FFD9D9D9"/>
      </left>
      <right/>
      <top style="thin">
        <color rgb="FFBFBFBF"/>
      </top>
      <bottom/>
      <diagonal/>
    </border>
    <border>
      <left style="medium">
        <color rgb="FF70AD47"/>
      </left>
      <right/>
      <top style="medium">
        <color rgb="FF70AD47"/>
      </top>
      <bottom style="medium">
        <color rgb="FF70AD47"/>
      </bottom>
      <diagonal/>
    </border>
    <border>
      <left style="thin">
        <color rgb="FFD9D9D9"/>
      </left>
      <right style="thin">
        <color rgb="FFD9D9D9"/>
      </right>
      <top style="thin">
        <color rgb="FFD9D9D9"/>
      </top>
      <bottom style="thin">
        <color rgb="FFBFBFBF"/>
      </bottom>
      <diagonal/>
    </border>
    <border>
      <left style="thin">
        <color rgb="FFD9D9D9"/>
      </left>
      <right style="thin">
        <color rgb="FFD9D9D9"/>
      </right>
      <top style="thin">
        <color rgb="FFBFBFBF"/>
      </top>
      <bottom style="thin">
        <color rgb="FFBFBFBF"/>
      </bottom>
      <diagonal/>
    </border>
    <border>
      <left style="thin">
        <color rgb="FFD9D9D9"/>
      </left>
      <right style="thin">
        <color rgb="FFD9D9D9"/>
      </right>
      <top style="thin">
        <color rgb="FFBFBFBF"/>
      </top>
      <bottom/>
      <diagonal/>
    </border>
    <border>
      <left style="thin">
        <color rgb="FFD9D9D9"/>
      </left>
      <right style="medium">
        <color rgb="FF70AD47"/>
      </right>
      <top style="medium">
        <color rgb="FF70AD47"/>
      </top>
      <bottom style="medium">
        <color rgb="FF70AD47"/>
      </bottom>
      <diagonal/>
    </border>
  </borders>
  <cellStyleXfs count="1">
    <xf numFmtId="0" fontId="0" fillId="0" borderId="0"/>
  </cellStyleXfs>
  <cellXfs count="77">
    <xf numFmtId="0" fontId="0" fillId="0" borderId="0" xfId="0"/>
    <xf numFmtId="0" fontId="0" fillId="0" borderId="0" xfId="0" applyAlignment="1">
      <alignment horizontal="center" vertical="center" wrapText="1"/>
    </xf>
    <xf numFmtId="0" fontId="1" fillId="0" borderId="0" xfId="0" applyFont="1" applyAlignment="1">
      <alignment horizontal="center" vertical="center" wrapText="1"/>
    </xf>
    <xf numFmtId="11" fontId="0" fillId="0" borderId="0" xfId="0" applyNumberFormat="1" applyAlignment="1">
      <alignment horizontal="center" vertical="center" wrapText="1"/>
    </xf>
    <xf numFmtId="0" fontId="3" fillId="3" borderId="0" xfId="0" applyFont="1" applyFill="1" applyAlignment="1">
      <alignment vertical="center"/>
    </xf>
    <xf numFmtId="0" fontId="4" fillId="0" borderId="0" xfId="0" applyFont="1" applyAlignment="1">
      <alignment vertical="center"/>
    </xf>
    <xf numFmtId="0" fontId="5" fillId="4" borderId="1" xfId="0" applyFont="1" applyFill="1" applyBorder="1" applyAlignment="1">
      <alignment horizontal="center" vertical="center"/>
    </xf>
    <xf numFmtId="0" fontId="5" fillId="4" borderId="2" xfId="0" applyFont="1" applyFill="1" applyBorder="1" applyAlignment="1">
      <alignment horizontal="center" vertical="center"/>
    </xf>
    <xf numFmtId="0" fontId="5" fillId="4" borderId="3" xfId="0" applyFont="1" applyFill="1" applyBorder="1" applyAlignment="1">
      <alignment horizontal="center" vertical="center"/>
    </xf>
    <xf numFmtId="0" fontId="3" fillId="11" borderId="1" xfId="0" applyFont="1" applyFill="1" applyBorder="1" applyAlignment="1">
      <alignment vertical="center"/>
    </xf>
    <xf numFmtId="0" fontId="3" fillId="11" borderId="2" xfId="0" applyFont="1" applyFill="1" applyBorder="1" applyAlignment="1">
      <alignment vertical="center"/>
    </xf>
    <xf numFmtId="0" fontId="3" fillId="11" borderId="3" xfId="0" applyFont="1" applyFill="1" applyBorder="1" applyAlignment="1">
      <alignment vertical="center"/>
    </xf>
    <xf numFmtId="0" fontId="7" fillId="5" borderId="4" xfId="0" applyFont="1" applyFill="1" applyBorder="1" applyAlignment="1">
      <alignment horizontal="center" vertical="center"/>
    </xf>
    <xf numFmtId="165" fontId="7" fillId="5" borderId="5" xfId="0" applyNumberFormat="1" applyFont="1" applyFill="1" applyBorder="1" applyAlignment="1">
      <alignment horizontal="center" vertical="center"/>
    </xf>
    <xf numFmtId="0" fontId="7" fillId="5" borderId="5" xfId="0" applyFont="1" applyFill="1" applyBorder="1" applyAlignment="1">
      <alignment horizontal="center" vertical="center"/>
    </xf>
    <xf numFmtId="164" fontId="7" fillId="5" borderId="6" xfId="0" applyNumberFormat="1" applyFont="1" applyFill="1" applyBorder="1" applyAlignment="1">
      <alignment horizontal="center" vertical="center"/>
    </xf>
    <xf numFmtId="0" fontId="3" fillId="11" borderId="4" xfId="0" applyFont="1" applyFill="1" applyBorder="1" applyAlignment="1">
      <alignment vertical="center"/>
    </xf>
    <xf numFmtId="0" fontId="3" fillId="11" borderId="5" xfId="0" applyFont="1" applyFill="1" applyBorder="1" applyAlignment="1">
      <alignment vertical="center"/>
    </xf>
    <xf numFmtId="0" fontId="3" fillId="11" borderId="6" xfId="0" applyFont="1" applyFill="1" applyBorder="1" applyAlignment="1">
      <alignment vertical="center"/>
    </xf>
    <xf numFmtId="0" fontId="5" fillId="2" borderId="1" xfId="0" applyFont="1" applyFill="1" applyBorder="1" applyAlignment="1">
      <alignment vertical="center"/>
    </xf>
    <xf numFmtId="0" fontId="5" fillId="2" borderId="2" xfId="0" applyFont="1" applyFill="1" applyBorder="1" applyAlignment="1">
      <alignment vertical="center"/>
    </xf>
    <xf numFmtId="0" fontId="5" fillId="2" borderId="3" xfId="0" applyFont="1" applyFill="1" applyBorder="1" applyAlignment="1">
      <alignment vertical="center"/>
    </xf>
    <xf numFmtId="0" fontId="6" fillId="3" borderId="7" xfId="0" applyFont="1" applyFill="1" applyBorder="1" applyAlignment="1">
      <alignment vertical="center"/>
    </xf>
    <xf numFmtId="0" fontId="6" fillId="3" borderId="8" xfId="0" applyFont="1" applyFill="1" applyBorder="1" applyAlignment="1">
      <alignment vertical="center"/>
    </xf>
    <xf numFmtId="0" fontId="6" fillId="3" borderId="9" xfId="0" applyFont="1" applyFill="1" applyBorder="1" applyAlignment="1">
      <alignment vertical="center"/>
    </xf>
    <xf numFmtId="0" fontId="4" fillId="0" borderId="7" xfId="0" applyFont="1" applyBorder="1" applyAlignment="1">
      <alignment vertical="center"/>
    </xf>
    <xf numFmtId="0" fontId="4" fillId="0" borderId="8" xfId="0" applyFont="1" applyBorder="1" applyAlignment="1">
      <alignment vertical="center"/>
    </xf>
    <xf numFmtId="165" fontId="4" fillId="0" borderId="8" xfId="0" applyNumberFormat="1" applyFont="1" applyBorder="1" applyAlignment="1">
      <alignment vertical="center"/>
    </xf>
    <xf numFmtId="164" fontId="4" fillId="0" borderId="9" xfId="0" applyNumberFormat="1" applyFont="1" applyBorder="1" applyAlignment="1">
      <alignment vertical="center"/>
    </xf>
    <xf numFmtId="0" fontId="7" fillId="6" borderId="4" xfId="0" applyFont="1" applyFill="1" applyBorder="1" applyAlignment="1">
      <alignment vertical="center"/>
    </xf>
    <xf numFmtId="0" fontId="7" fillId="6" borderId="5" xfId="0" applyFont="1" applyFill="1" applyBorder="1" applyAlignment="1">
      <alignment vertical="center"/>
    </xf>
    <xf numFmtId="165" fontId="7" fillId="6" borderId="5" xfId="0" applyNumberFormat="1" applyFont="1" applyFill="1" applyBorder="1" applyAlignment="1">
      <alignment vertical="center"/>
    </xf>
    <xf numFmtId="164" fontId="7" fillId="6" borderId="6" xfId="0" applyNumberFormat="1" applyFont="1" applyFill="1" applyBorder="1" applyAlignment="1">
      <alignment vertical="center"/>
    </xf>
    <xf numFmtId="0" fontId="4" fillId="0" borderId="9" xfId="0" applyFont="1" applyBorder="1" applyAlignment="1">
      <alignment vertical="center"/>
    </xf>
    <xf numFmtId="0" fontId="4" fillId="7" borderId="8" xfId="0" applyFont="1" applyFill="1" applyBorder="1" applyAlignment="1">
      <alignment vertical="center"/>
    </xf>
    <xf numFmtId="165" fontId="4" fillId="0" borderId="9" xfId="0" applyNumberFormat="1" applyFont="1" applyBorder="1" applyAlignment="1">
      <alignment vertical="center"/>
    </xf>
    <xf numFmtId="0" fontId="4" fillId="8" borderId="8" xfId="0" applyFont="1" applyFill="1" applyBorder="1" applyAlignment="1">
      <alignment vertical="center"/>
    </xf>
    <xf numFmtId="0" fontId="4" fillId="9" borderId="8" xfId="0" applyFont="1" applyFill="1" applyBorder="1" applyAlignment="1">
      <alignment vertical="center"/>
    </xf>
    <xf numFmtId="0" fontId="4" fillId="10" borderId="8" xfId="0" applyFont="1" applyFill="1" applyBorder="1" applyAlignment="1">
      <alignment vertical="center"/>
    </xf>
    <xf numFmtId="0" fontId="7" fillId="6" borderId="10" xfId="0" applyFont="1" applyFill="1" applyBorder="1" applyAlignment="1">
      <alignment vertical="center"/>
    </xf>
    <xf numFmtId="0" fontId="7" fillId="6" borderId="11" xfId="0" applyFont="1" applyFill="1" applyBorder="1" applyAlignment="1">
      <alignment vertical="center"/>
    </xf>
    <xf numFmtId="165" fontId="7" fillId="6" borderId="12" xfId="0" applyNumberFormat="1" applyFont="1" applyFill="1" applyBorder="1" applyAlignment="1">
      <alignment vertical="center"/>
    </xf>
    <xf numFmtId="0" fontId="7" fillId="6" borderId="6" xfId="0" applyFont="1" applyFill="1" applyBorder="1" applyAlignment="1">
      <alignment vertical="center"/>
    </xf>
    <xf numFmtId="165" fontId="7" fillId="6" borderId="6" xfId="0" applyNumberFormat="1" applyFont="1" applyFill="1" applyBorder="1" applyAlignment="1">
      <alignment vertical="center"/>
    </xf>
    <xf numFmtId="0" fontId="2" fillId="2" borderId="0" xfId="0" applyFont="1" applyFill="1" applyAlignment="1">
      <alignment vertical="center"/>
    </xf>
    <xf numFmtId="0" fontId="3" fillId="11" borderId="0" xfId="0" applyFont="1" applyFill="1" applyAlignment="1">
      <alignment vertical="center"/>
    </xf>
    <xf numFmtId="0" fontId="10" fillId="0" borderId="0" xfId="0" applyFont="1"/>
    <xf numFmtId="1" fontId="10" fillId="0" borderId="0" xfId="0" applyNumberFormat="1" applyFont="1" applyAlignment="1">
      <alignment horizontal="center" vertical="center"/>
    </xf>
    <xf numFmtId="0" fontId="10" fillId="0" borderId="0" xfId="0" applyFont="1" applyAlignment="1">
      <alignment horizontal="center" vertical="center"/>
    </xf>
    <xf numFmtId="164" fontId="10" fillId="0" borderId="0" xfId="0" applyNumberFormat="1" applyFont="1"/>
    <xf numFmtId="1" fontId="10" fillId="0" borderId="0" xfId="0" applyNumberFormat="1" applyFont="1"/>
    <xf numFmtId="165" fontId="10" fillId="0" borderId="0" xfId="0" applyNumberFormat="1" applyFont="1"/>
    <xf numFmtId="0" fontId="10" fillId="0" borderId="0" xfId="0" applyFont="1" applyAlignment="1">
      <alignment horizontal="left"/>
    </xf>
    <xf numFmtId="0" fontId="13" fillId="12" borderId="13" xfId="0" applyNumberFormat="1" applyFont="1" applyFill="1" applyBorder="1" applyAlignment="1">
      <alignment horizontal="center" vertical="center"/>
    </xf>
    <xf numFmtId="0" fontId="8" fillId="2" borderId="14" xfId="0" applyNumberFormat="1" applyFont="1" applyFill="1" applyBorder="1" applyAlignment="1">
      <alignment horizontal="left"/>
    </xf>
    <xf numFmtId="0" fontId="8" fillId="2" borderId="15" xfId="0" applyNumberFormat="1" applyFont="1" applyFill="1" applyBorder="1" applyAlignment="1">
      <alignment horizontal="left"/>
    </xf>
    <xf numFmtId="0" fontId="8" fillId="2" borderId="16" xfId="0" applyNumberFormat="1" applyFont="1" applyFill="1" applyBorder="1" applyAlignment="1">
      <alignment horizontal="left"/>
    </xf>
    <xf numFmtId="0" fontId="9" fillId="2" borderId="17" xfId="0" applyNumberFormat="1" applyFont="1" applyFill="1" applyBorder="1" applyAlignment="1">
      <alignment horizontal="center" vertical="center"/>
    </xf>
    <xf numFmtId="0" fontId="11" fillId="3" borderId="20" xfId="0" applyNumberFormat="1" applyFont="1" applyFill="1" applyBorder="1" applyAlignment="1">
      <alignment horizontal="center"/>
    </xf>
    <xf numFmtId="0" fontId="12" fillId="14" borderId="21" xfId="0" applyNumberFormat="1" applyFont="1" applyFill="1" applyBorder="1" applyAlignment="1">
      <alignment horizontal="left"/>
    </xf>
    <xf numFmtId="0" fontId="12" fillId="14" borderId="22" xfId="0" applyNumberFormat="1" applyFont="1" applyFill="1" applyBorder="1" applyAlignment="1">
      <alignment horizontal="left"/>
    </xf>
    <xf numFmtId="0" fontId="13" fillId="7" borderId="23" xfId="0" applyNumberFormat="1" applyFont="1" applyFill="1" applyBorder="1" applyAlignment="1">
      <alignment horizontal="left"/>
    </xf>
    <xf numFmtId="164" fontId="12" fillId="14" borderId="24" xfId="0" applyNumberFormat="1" applyFont="1" applyFill="1" applyBorder="1" applyAlignment="1">
      <alignment horizontal="right"/>
    </xf>
    <xf numFmtId="164" fontId="12" fillId="14" borderId="25" xfId="0" applyNumberFormat="1" applyFont="1" applyFill="1" applyBorder="1" applyAlignment="1">
      <alignment horizontal="right"/>
    </xf>
    <xf numFmtId="164" fontId="12" fillId="14" borderId="26" xfId="0" applyNumberFormat="1" applyFont="1" applyFill="1" applyBorder="1" applyAlignment="1">
      <alignment horizontal="right"/>
    </xf>
    <xf numFmtId="1" fontId="12" fillId="14" borderId="24" xfId="0" applyNumberFormat="1" applyFont="1" applyFill="1" applyBorder="1" applyAlignment="1">
      <alignment horizontal="right"/>
    </xf>
    <xf numFmtId="1" fontId="12" fillId="14" borderId="25" xfId="0" applyNumberFormat="1" applyFont="1" applyFill="1" applyBorder="1" applyAlignment="1">
      <alignment horizontal="right"/>
    </xf>
    <xf numFmtId="1" fontId="12" fillId="14" borderId="26" xfId="0" applyNumberFormat="1" applyFont="1" applyFill="1" applyBorder="1" applyAlignment="1">
      <alignment horizontal="right"/>
    </xf>
    <xf numFmtId="165" fontId="12" fillId="14" borderId="24" xfId="0" applyNumberFormat="1" applyFont="1" applyFill="1" applyBorder="1" applyAlignment="1">
      <alignment horizontal="right"/>
    </xf>
    <xf numFmtId="165" fontId="12" fillId="14" borderId="25" xfId="0" applyNumberFormat="1" applyFont="1" applyFill="1" applyBorder="1" applyAlignment="1">
      <alignment horizontal="right"/>
    </xf>
    <xf numFmtId="165" fontId="12" fillId="14" borderId="26" xfId="0" applyNumberFormat="1" applyFont="1" applyFill="1" applyBorder="1" applyAlignment="1">
      <alignment horizontal="right"/>
    </xf>
    <xf numFmtId="164" fontId="13" fillId="7" borderId="27" xfId="0" applyNumberFormat="1" applyFont="1" applyFill="1" applyBorder="1" applyAlignment="1">
      <alignment horizontal="right"/>
    </xf>
    <xf numFmtId="1" fontId="13" fillId="7" borderId="27" xfId="0" applyNumberFormat="1" applyFont="1" applyFill="1" applyBorder="1" applyAlignment="1">
      <alignment horizontal="right"/>
    </xf>
    <xf numFmtId="165" fontId="13" fillId="7" borderId="27" xfId="0" applyNumberFormat="1" applyFont="1" applyFill="1" applyBorder="1" applyAlignment="1">
      <alignment horizontal="right"/>
    </xf>
    <xf numFmtId="0" fontId="6" fillId="3" borderId="14" xfId="0" applyNumberFormat="1" applyFont="1" applyFill="1" applyBorder="1" applyAlignment="1">
      <alignment horizontal="left"/>
    </xf>
    <xf numFmtId="0" fontId="5" fillId="13" borderId="18" xfId="0" applyNumberFormat="1" applyFont="1" applyFill="1" applyBorder="1" applyAlignment="1">
      <alignment horizontal="left"/>
    </xf>
    <xf numFmtId="0" fontId="5" fillId="13" borderId="19" xfId="0" applyNumberFormat="1" applyFont="1" applyFill="1" applyBorder="1" applyAlignment="1">
      <alignment horizontal="left"/>
    </xf>
  </cellXfs>
  <cellStyles count="1">
    <cellStyle name="Normal" xfId="0" builtinId="0"/>
  </cellStyles>
  <dxfs count="2510">
    <dxf>
      <numFmt numFmtId="0" formatCode="General"/>
    </dxf>
    <dxf>
      <alignment horizontal="left"/>
    </dxf>
    <dxf>
      <fill>
        <patternFill patternType="solid">
          <fgColor indexed="64"/>
          <bgColor rgb="FFE2F0D9"/>
        </patternFill>
      </fill>
    </dxf>
    <dxf>
      <font>
        <b/>
      </font>
    </dxf>
    <dxf>
      <font>
        <color rgb="FF222222"/>
      </font>
    </dxf>
    <dxf>
      <border diagonalUp="0" diagonalDown="0" outline="0">
        <left style="medium">
          <color rgb="FF70AD47"/>
        </left>
        <right style="medium">
          <color rgb="FF70AD47"/>
        </right>
        <top style="medium">
          <color rgb="FF70AD47"/>
        </top>
        <bottom style="medium">
          <color rgb="FF70AD47"/>
        </bottom>
      </border>
    </dxf>
    <dxf>
      <border diagonalUp="0" diagonalDown="0" outline="0">
        <left style="medium">
          <color rgb="FF70AD47"/>
        </left>
        <right style="medium">
          <color rgb="FF70AD47"/>
        </right>
        <top style="medium">
          <color rgb="FF70AD47"/>
        </top>
        <bottom style="medium">
          <color rgb="FF70AD47"/>
        </bottom>
      </border>
    </dxf>
    <dxf>
      <border diagonalUp="0" diagonalDown="0" outline="0">
        <left style="medium">
          <color rgb="FF70AD47"/>
        </left>
        <right style="thin">
          <color rgb="FF70AD47"/>
        </right>
        <top style="medium">
          <color rgb="FF70AD47"/>
        </top>
        <bottom style="medium">
          <color rgb="FF70AD47"/>
        </bottom>
      </border>
    </dxf>
    <dxf>
      <border diagonalUp="0" diagonalDown="0" outline="0">
        <left style="medium">
          <color rgb="FF70AD47"/>
        </left>
        <right style="thin">
          <color rgb="FF70AD47"/>
        </right>
        <top style="medium">
          <color rgb="FF70AD47"/>
        </top>
        <bottom style="medium">
          <color rgb="FF70AD47"/>
        </bottom>
      </border>
    </dxf>
    <dxf>
      <border diagonalUp="0" diagonalDown="0" outline="0">
        <left style="medium">
          <color rgb="FF70AD47"/>
        </left>
        <right style="thin">
          <color rgb="FF70AD47"/>
        </right>
        <top style="medium">
          <color rgb="FF70AD47"/>
        </top>
        <bottom style="medium">
          <color rgb="FF70AD47"/>
        </bottom>
      </border>
    </dxf>
    <dxf>
      <border diagonalUp="0" diagonalDown="0" outline="0">
        <left style="medium">
          <color rgb="FF70AD47"/>
        </left>
        <right style="thin">
          <color rgb="FF70AD47"/>
        </right>
        <top style="medium">
          <color rgb="FF70AD47"/>
        </top>
        <bottom style="medium">
          <color rgb="FF70AD47"/>
        </bottom>
      </border>
    </dxf>
    <dxf>
      <border diagonalUp="0" diagonalDown="0" outline="0">
        <left style="medium">
          <color rgb="FF70AD47"/>
        </left>
        <right style="thin">
          <color rgb="FFD9D9D9"/>
        </right>
        <top style="medium">
          <color rgb="FF70AD47"/>
        </top>
        <bottom style="medium">
          <color rgb="FF70AD47"/>
        </bottom>
      </border>
    </dxf>
    <dxf>
      <border diagonalUp="0" diagonalDown="0" outline="0">
        <left style="medium">
          <color rgb="FF70AD47"/>
        </left>
        <right style="thin">
          <color rgb="FFD9D9D9"/>
        </right>
        <top style="medium">
          <color rgb="FF70AD47"/>
        </top>
        <bottom style="medium">
          <color rgb="FF70AD47"/>
        </bottom>
      </border>
    </dxf>
    <dxf>
      <border diagonalUp="0" diagonalDown="0" outline="0">
        <left style="medium">
          <color rgb="FF70AD47"/>
        </left>
        <right style="thin">
          <color rgb="FFD9D9D9"/>
        </right>
        <top style="medium">
          <color rgb="FF70AD47"/>
        </top>
        <bottom style="medium">
          <color rgb="FF70AD47"/>
        </bottom>
      </border>
    </dxf>
    <dxf>
      <border diagonalUp="0" diagonalDown="0" outline="0">
        <left style="medium">
          <color rgb="FF70AD47"/>
        </left>
        <right style="thin">
          <color rgb="FFD9D9D9"/>
        </right>
        <top style="medium">
          <color rgb="FF70AD47"/>
        </top>
        <bottom style="medium">
          <color rgb="FF70AD47"/>
        </bottom>
      </border>
    </dxf>
    <dxf>
      <border diagonalUp="0" diagonalDown="0" outline="0">
        <left style="medium">
          <color rgb="FF70AD47"/>
        </left>
        <right style="thin">
          <color rgb="FFD9D9D9"/>
        </right>
        <top style="medium">
          <color rgb="FF70AD47"/>
        </top>
        <bottom style="medium">
          <color rgb="FF70AD47"/>
        </bottom>
      </border>
    </dxf>
    <dxf>
      <border diagonalUp="0" diagonalDown="0" outline="0">
        <left style="medium">
          <color rgb="FF70AD47"/>
        </left>
        <right style="thin">
          <color rgb="FFD9D9D9"/>
        </right>
        <top style="medium">
          <color rgb="FF70AD47"/>
        </top>
        <bottom style="medium">
          <color rgb="FF70AD47"/>
        </bottom>
      </border>
    </dxf>
    <dxf>
      <border diagonalUp="0" diagonalDown="0" outline="0">
        <left style="medium">
          <color rgb="FF70AD47"/>
        </left>
        <right style="thin">
          <color rgb="FFD9D9D9"/>
        </right>
        <top style="medium">
          <color rgb="FF70AD47"/>
        </top>
        <bottom style="medium">
          <color rgb="FF70AD47"/>
        </bottom>
      </border>
    </dxf>
    <dxf>
      <border diagonalUp="0" diagonalDown="0" outline="0">
        <left style="medium">
          <color rgb="FF70AD47"/>
        </left>
        <right style="thin">
          <color rgb="FFD9D9D9"/>
        </right>
        <top style="medium">
          <color rgb="FF70AD47"/>
        </top>
        <bottom style="medium">
          <color rgb="FF70AD47"/>
        </bottom>
      </border>
    </dxf>
    <dxf>
      <border diagonalUp="0" diagonalDown="0" outline="0">
        <left style="medium">
          <color rgb="FF70AD47"/>
        </left>
        <right style="thin">
          <color rgb="FFD9D9D9"/>
        </right>
        <top style="medium">
          <color rgb="FF70AD47"/>
        </top>
        <bottom style="thin">
          <color rgb="FF70AD47"/>
        </bottom>
      </border>
    </dxf>
    <dxf>
      <border diagonalUp="0" diagonalDown="0" outline="0">
        <left style="medium">
          <color rgb="FF70AD47"/>
        </left>
        <right style="thin">
          <color rgb="FFD9D9D9"/>
        </right>
        <top style="medium">
          <color rgb="FF70AD47"/>
        </top>
        <bottom style="thin">
          <color rgb="FF70AD47"/>
        </bottom>
      </border>
    </dxf>
    <dxf>
      <border diagonalUp="0" diagonalDown="0" outline="0">
        <left style="medium">
          <color rgb="FF70AD47"/>
        </left>
        <right style="thin">
          <color rgb="FFD9D9D9"/>
        </right>
        <top style="medium">
          <color rgb="FF70AD47"/>
        </top>
        <bottom style="thin">
          <color rgb="FF70AD47"/>
        </bottom>
      </border>
    </dxf>
    <dxf>
      <border diagonalUp="0" diagonalDown="0" outline="0">
        <left style="medium">
          <color rgb="FF70AD47"/>
        </left>
        <right style="thin">
          <color rgb="FFD9D9D9"/>
        </right>
        <top style="medium">
          <color rgb="FF70AD47"/>
        </top>
        <bottom style="thin">
          <color rgb="FF70AD47"/>
        </bottom>
      </border>
    </dxf>
    <dxf>
      <border diagonalUp="0" diagonalDown="0" outline="0">
        <left style="medium">
          <color rgb="FF70AD47"/>
        </left>
        <right style="thin">
          <color rgb="FFD9D9D9"/>
        </right>
        <top style="medium">
          <color rgb="FF70AD47"/>
        </top>
      </border>
    </dxf>
    <dxf>
      <border diagonalUp="0" diagonalDown="0" outline="0">
        <left style="medium">
          <color rgb="FF70AD47"/>
        </left>
        <right style="thin">
          <color rgb="FFD9D9D9"/>
        </right>
        <top style="medium">
          <color rgb="FF70AD47"/>
        </top>
      </border>
    </dxf>
    <dxf>
      <border diagonalUp="0" diagonalDown="0" outline="0">
        <left style="medium">
          <color rgb="FF70AD47"/>
        </left>
        <right style="thin">
          <color rgb="FFD9D9D9"/>
        </right>
        <top style="medium">
          <color rgb="FF70AD47"/>
        </top>
      </border>
    </dxf>
    <dxf>
      <border diagonalUp="0" diagonalDown="0" outline="0">
        <left style="medium">
          <color rgb="FF70AD47"/>
        </left>
        <right style="thin">
          <color rgb="FFD9D9D9"/>
        </right>
        <top style="medium">
          <color rgb="FF70AD47"/>
        </top>
      </border>
    </dxf>
    <dxf>
      <border diagonalUp="0" diagonalDown="0" outline="0">
        <left style="medium">
          <color rgb="FF70AD47"/>
        </left>
        <right style="thin">
          <color rgb="FFD9D9D9"/>
        </right>
        <top style="medium">
          <color rgb="FF70AD47"/>
        </top>
      </border>
    </dxf>
    <dxf>
      <border diagonalUp="0" diagonalDown="0" outline="0">
        <left style="medium">
          <color rgb="FF70AD47"/>
        </left>
        <right style="thin">
          <color rgb="FFD9D9D9"/>
        </right>
        <top style="medium">
          <color rgb="FF70AD47"/>
        </top>
      </border>
    </dxf>
    <dxf>
      <numFmt numFmtId="164" formatCode="0.0"/>
    </dxf>
    <dxf>
      <numFmt numFmtId="164" formatCode="0.0"/>
    </dxf>
    <dxf>
      <alignment horizontal="right"/>
    </dxf>
    <dxf>
      <alignment horizontal="right"/>
    </dxf>
    <dxf>
      <fill>
        <patternFill patternType="solid">
          <fgColor indexed="64"/>
          <bgColor rgb="FFE2F0D9"/>
        </patternFill>
      </fill>
    </dxf>
    <dxf>
      <fill>
        <patternFill patternType="solid">
          <fgColor indexed="64"/>
          <bgColor rgb="FFE2F0D9"/>
        </patternFill>
      </fill>
    </dxf>
    <dxf>
      <font>
        <strike val="0"/>
      </font>
    </dxf>
    <dxf>
      <font>
        <strike val="0"/>
      </font>
    </dxf>
    <dxf>
      <font>
        <u val="none"/>
      </font>
    </dxf>
    <dxf>
      <font>
        <u val="none"/>
      </font>
    </dxf>
    <dxf>
      <font>
        <i val="0"/>
      </font>
    </dxf>
    <dxf>
      <font>
        <i val="0"/>
      </font>
    </dxf>
    <dxf>
      <font>
        <b/>
      </font>
    </dxf>
    <dxf>
      <font>
        <b/>
      </font>
    </dxf>
    <dxf>
      <font>
        <name val="Calibri"/>
      </font>
    </dxf>
    <dxf>
      <font>
        <name val="Calibri"/>
      </font>
    </dxf>
    <dxf>
      <font>
        <sz val="10"/>
      </font>
    </dxf>
    <dxf>
      <font>
        <sz val="10"/>
      </font>
    </dxf>
    <dxf>
      <font>
        <color rgb="FF222222"/>
      </font>
    </dxf>
    <dxf>
      <font>
        <color rgb="FF222222"/>
      </font>
    </dxf>
    <dxf>
      <border diagonalUp="0" diagonalDown="0" outline="0">
        <left style="thin">
          <color rgb="FFD9D9D9"/>
        </left>
        <right style="thin">
          <color rgb="FFD9D9D9"/>
        </right>
        <top style="thin">
          <color rgb="FFD9D9D9"/>
        </top>
        <bottom style="thin">
          <color rgb="FFD9D9D9"/>
        </bottom>
      </border>
    </dxf>
    <dxf>
      <border diagonalUp="0" diagonalDown="0" outline="0">
        <left style="thin">
          <color rgb="FFD9D9D9"/>
        </left>
        <right style="medium">
          <color rgb="FFD9D9D9"/>
        </right>
        <top style="thin">
          <color rgb="FFD9D9D9"/>
        </top>
        <bottom style="thin">
          <color rgb="FFD9D9D9"/>
        </bottom>
      </border>
    </dxf>
    <dxf>
      <border diagonalUp="0" diagonalDown="0" outline="0">
        <left style="thin">
          <color rgb="FFD9D9D9"/>
        </left>
        <right style="medium">
          <color rgb="FFD9D9D9"/>
        </right>
        <top style="thin">
          <color rgb="FFD9D9D9"/>
        </top>
        <bottom style="thin">
          <color rgb="FFD9D9D9"/>
        </bottom>
      </border>
    </dxf>
    <dxf>
      <border diagonalUp="0" diagonalDown="0" outline="0">
        <left style="thin">
          <color rgb="FFD9D9D9"/>
        </left>
        <top style="thin">
          <color rgb="FFD9D9D9"/>
        </top>
        <bottom style="thin">
          <color rgb="FFD9D9D9"/>
        </bottom>
      </border>
    </dxf>
    <dxf>
      <border diagonalUp="0" diagonalDown="0" outline="0">
        <left style="thin">
          <color rgb="FFD9D9D9"/>
        </left>
        <top style="thin">
          <color rgb="FFD9D9D9"/>
        </top>
        <bottom style="thin">
          <color rgb="FFD9D9D9"/>
        </bottom>
      </border>
    </dxf>
    <dxf>
      <border diagonalUp="0" diagonalDown="0" outline="0">
        <left style="thin">
          <color rgb="FFD9D9D9"/>
        </left>
        <top style="thin">
          <color rgb="FFD9D9D9"/>
        </top>
        <bottom style="thin">
          <color rgb="FFD9D9D9"/>
        </bottom>
      </border>
    </dxf>
    <dxf>
      <border diagonalUp="0" diagonalDown="0" outline="0">
        <left style="thin">
          <color rgb="FFBFBFBF"/>
        </left>
        <top style="thin">
          <color rgb="FFD9D9D9"/>
        </top>
        <bottom style="thin">
          <color rgb="FFD9D9D9"/>
        </bottom>
      </border>
    </dxf>
    <dxf>
      <border diagonalUp="0" diagonalDown="0" outline="0">
        <left style="thin">
          <color rgb="FFBFBFBF"/>
        </left>
        <top style="thin">
          <color rgb="FFD9D9D9"/>
        </top>
        <bottom style="medium">
          <color rgb="FFD9D9D9"/>
        </bottom>
      </border>
    </dxf>
    <dxf>
      <border diagonalUp="0" diagonalDown="0" outline="0">
        <left style="thin">
          <color rgb="FFBFBFBF"/>
        </left>
        <top style="thin">
          <color rgb="FFD9D9D9"/>
        </top>
        <bottom style="medium">
          <color rgb="FFD9D9D9"/>
        </bottom>
      </border>
    </dxf>
    <dxf>
      <border diagonalUp="0" diagonalDown="0" outline="0">
        <left style="thin">
          <color rgb="FFBFBFBF"/>
        </left>
        <top style="thin">
          <color rgb="FFD9D9D9"/>
        </top>
        <bottom style="medium">
          <color rgb="FF70AD47"/>
        </bottom>
      </border>
    </dxf>
    <dxf>
      <border diagonalUp="0" diagonalDown="0" outline="0">
        <left style="thin">
          <color rgb="FFBFBFBF"/>
        </left>
        <top style="thin">
          <color rgb="FFD9D9D9"/>
        </top>
        <bottom style="medium">
          <color rgb="FF70AD47"/>
        </bottom>
      </border>
    </dxf>
    <dxf>
      <border diagonalUp="0" diagonalDown="0" outline="0">
        <left style="thin">
          <color rgb="FFBFBFBF"/>
        </left>
        <top style="thin">
          <color rgb="FFD9D9D9"/>
        </top>
        <bottom style="medium">
          <color rgb="FF70AD47"/>
        </bottom>
      </border>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alignment horizontal="right"/>
    </dxf>
    <dxf>
      <fill>
        <patternFill patternType="solid">
          <fgColor indexed="64"/>
          <bgColor rgb="FFFFFFFF"/>
        </patternFill>
      </fill>
    </dxf>
    <dxf>
      <font>
        <strike val="0"/>
      </font>
    </dxf>
    <dxf>
      <font>
        <u val="none"/>
      </font>
    </dxf>
    <dxf>
      <font>
        <i val="0"/>
      </font>
    </dxf>
    <dxf>
      <font>
        <b val="0"/>
      </font>
    </dxf>
    <dxf>
      <font>
        <name val="Calibri"/>
      </font>
    </dxf>
    <dxf>
      <font>
        <sz val="10"/>
      </font>
    </dxf>
    <dxf>
      <font>
        <color rgb="FF222222"/>
      </font>
    </dxf>
    <dxf>
      <border diagonalUp="0" diagonalDown="0" outline="0">
        <left style="medium">
          <color rgb="FF70AD47"/>
        </left>
        <right style="medium">
          <color rgb="FF70AD47"/>
        </right>
        <top style="medium">
          <color rgb="FF70AD47"/>
        </top>
        <bottom style="medium">
          <color rgb="FF70AD47"/>
        </bottom>
      </border>
    </dxf>
    <dxf>
      <border diagonalUp="0" diagonalDown="0" outline="0">
        <left style="medium">
          <color rgb="FF70AD47"/>
        </left>
        <right style="medium">
          <color rgb="FF70AD47"/>
        </right>
        <top style="medium">
          <color rgb="FF70AD47"/>
        </top>
        <bottom style="medium">
          <color rgb="FF70AD47"/>
        </bottom>
      </border>
    </dxf>
    <dxf>
      <border diagonalUp="0" diagonalDown="0" outline="0">
        <left style="medium">
          <color rgb="FF70AD47"/>
        </left>
        <right style="thin">
          <color rgb="FF70AD47"/>
        </right>
        <top style="medium">
          <color rgb="FF70AD47"/>
        </top>
        <bottom style="medium">
          <color rgb="FF70AD47"/>
        </bottom>
      </border>
    </dxf>
    <dxf>
      <border diagonalUp="0" diagonalDown="0" outline="0">
        <left style="medium">
          <color rgb="FF70AD47"/>
        </left>
        <right style="thin">
          <color rgb="FF70AD47"/>
        </right>
        <top style="medium">
          <color rgb="FF70AD47"/>
        </top>
        <bottom style="medium">
          <color rgb="FF70AD47"/>
        </bottom>
      </border>
    </dxf>
    <dxf>
      <border diagonalUp="0" diagonalDown="0" outline="0">
        <left style="medium">
          <color rgb="FF70AD47"/>
        </left>
        <right style="thin">
          <color rgb="FF70AD47"/>
        </right>
        <top style="medium">
          <color rgb="FF70AD47"/>
        </top>
        <bottom style="medium">
          <color rgb="FF70AD47"/>
        </bottom>
      </border>
    </dxf>
    <dxf>
      <border diagonalUp="0" diagonalDown="0" outline="0">
        <left style="medium">
          <color rgb="FF70AD47"/>
        </left>
        <right style="thin">
          <color rgb="FF70AD47"/>
        </right>
        <top style="medium">
          <color rgb="FF70AD47"/>
        </top>
        <bottom style="medium">
          <color rgb="FF70AD47"/>
        </bottom>
      </border>
    </dxf>
    <dxf>
      <border diagonalUp="0" diagonalDown="0" outline="0">
        <left style="medium">
          <color rgb="FF70AD47"/>
        </left>
        <right style="thin">
          <color rgb="FFBFBFBF"/>
        </right>
        <top style="medium">
          <color rgb="FF70AD47"/>
        </top>
        <bottom style="medium">
          <color rgb="FF70AD47"/>
        </bottom>
      </border>
    </dxf>
    <dxf>
      <border diagonalUp="0" diagonalDown="0" outline="0">
        <left style="medium">
          <color rgb="FF70AD47"/>
        </left>
        <right style="thin">
          <color rgb="FFBFBFBF"/>
        </right>
        <top style="medium">
          <color rgb="FF70AD47"/>
        </top>
        <bottom style="medium">
          <color rgb="FF70AD47"/>
        </bottom>
      </border>
    </dxf>
    <dxf>
      <border diagonalUp="0" diagonalDown="0" outline="0">
        <left style="thin">
          <color rgb="FF70AD47"/>
        </left>
        <right style="thin">
          <color rgb="FFBFBFBF"/>
        </right>
        <top style="medium">
          <color rgb="FF70AD47"/>
        </top>
        <bottom style="medium">
          <color rgb="FF70AD47"/>
        </bottom>
      </border>
    </dxf>
    <dxf>
      <border diagonalUp="0" diagonalDown="0" outline="0">
        <left style="thin">
          <color rgb="FF70AD47"/>
        </left>
        <right style="thin">
          <color rgb="FFBFBFBF"/>
        </right>
        <top style="medium">
          <color rgb="FF70AD47"/>
        </top>
        <bottom style="medium">
          <color rgb="FF70AD47"/>
        </bottom>
      </border>
    </dxf>
    <dxf>
      <border diagonalUp="0" diagonalDown="0" outline="0">
        <left style="thin">
          <color rgb="FF70AD47"/>
        </left>
        <right style="thin">
          <color rgb="FFBFBFBF"/>
        </right>
        <top style="medium">
          <color rgb="FF70AD47"/>
        </top>
        <bottom style="medium">
          <color rgb="FF70AD47"/>
        </bottom>
      </border>
    </dxf>
    <dxf>
      <border diagonalUp="0" diagonalDown="0" outline="0">
        <left style="thin">
          <color rgb="FF70AD47"/>
        </left>
        <right style="thin">
          <color rgb="FFBFBFBF"/>
        </right>
        <top style="medium">
          <color rgb="FF70AD47"/>
        </top>
        <bottom style="medium">
          <color rgb="FF70AD47"/>
        </bottom>
      </border>
    </dxf>
    <dxf>
      <border diagonalUp="0" diagonalDown="0" outline="0">
        <left style="thin">
          <color rgb="FFBFBFBF"/>
        </left>
        <right style="thin">
          <color rgb="FFBFBFBF"/>
        </right>
        <top style="medium">
          <color rgb="FF70AD47"/>
        </top>
        <bottom style="medium">
          <color rgb="FF70AD47"/>
        </bottom>
      </border>
    </dxf>
    <dxf>
      <border diagonalUp="0" diagonalDown="0" outline="0">
        <left style="thin">
          <color rgb="FFBFBFBF"/>
        </left>
        <right style="thin">
          <color rgb="FFBFBFBF"/>
        </right>
        <top style="medium">
          <color rgb="FF70AD47"/>
        </top>
        <bottom style="medium">
          <color rgb="FF70AD47"/>
        </bottom>
      </border>
    </dxf>
    <dxf>
      <border diagonalUp="0" diagonalDown="0" outline="0">
        <left style="thin">
          <color rgb="FFBFBFBF"/>
        </left>
        <right style="thin">
          <color rgb="FFBFBFBF"/>
        </right>
        <top style="medium">
          <color rgb="FF70AD47"/>
        </top>
        <bottom style="thin">
          <color rgb="FF70AD47"/>
        </bottom>
      </border>
    </dxf>
    <dxf>
      <border diagonalUp="0" diagonalDown="0" outline="0">
        <left style="thin">
          <color rgb="FFBFBFBF"/>
        </left>
        <right style="thin">
          <color rgb="FFBFBFBF"/>
        </right>
        <top style="medium">
          <color rgb="FF70AD47"/>
        </top>
        <bottom style="thin">
          <color rgb="FF70AD47"/>
        </bottom>
      </border>
    </dxf>
    <dxf>
      <border diagonalUp="0" diagonalDown="0" outline="0">
        <left style="thin">
          <color rgb="FFBFBFBF"/>
        </left>
        <right style="thin">
          <color rgb="FFBFBFBF"/>
        </right>
        <top style="medium">
          <color rgb="FF70AD47"/>
        </top>
        <bottom style="thin">
          <color rgb="FF70AD47"/>
        </bottom>
      </border>
    </dxf>
    <dxf>
      <border diagonalUp="0" diagonalDown="0" outline="0">
        <left style="thin">
          <color rgb="FFBFBFBF"/>
        </left>
        <right style="thin">
          <color rgb="FFBFBFBF"/>
        </right>
        <top style="medium">
          <color rgb="FF70AD47"/>
        </top>
        <bottom style="thin">
          <color rgb="FF70AD47"/>
        </bottom>
      </border>
    </dxf>
    <dxf>
      <border diagonalUp="0" diagonalDown="0" outline="0">
        <left style="thin">
          <color rgb="FFBFBFBF"/>
        </left>
        <right style="thin">
          <color rgb="FFBFBFBF"/>
        </right>
        <top style="medium">
          <color rgb="FF70AD47"/>
        </top>
        <bottom style="thin">
          <color rgb="FFBFBFBF"/>
        </bottom>
      </border>
    </dxf>
    <dxf>
      <border diagonalUp="0" diagonalDown="0" outline="0">
        <left style="thin">
          <color rgb="FFBFBFBF"/>
        </left>
        <right style="thin">
          <color rgb="FFBFBFBF"/>
        </right>
        <top style="medium">
          <color rgb="FF70AD47"/>
        </top>
        <bottom style="thin">
          <color rgb="FFBFBFBF"/>
        </bottom>
      </border>
    </dxf>
    <dxf>
      <border diagonalUp="0" diagonalDown="0" outline="0">
        <left style="thin">
          <color rgb="FFBFBFBF"/>
        </left>
        <right style="thin">
          <color rgb="FFBFBFBF"/>
        </right>
        <top style="thin">
          <color rgb="FF70AD47"/>
        </top>
        <bottom style="thin">
          <color rgb="FFBFBFBF"/>
        </bottom>
      </border>
    </dxf>
    <dxf>
      <border diagonalUp="0" diagonalDown="0" outline="0">
        <left style="thin">
          <color rgb="FFBFBFBF"/>
        </left>
        <right style="thin">
          <color rgb="FFBFBFBF"/>
        </right>
        <top style="thin">
          <color rgb="FF70AD47"/>
        </top>
        <bottom style="thin">
          <color rgb="FFBFBFBF"/>
        </bottom>
      </border>
    </dxf>
    <dxf>
      <border diagonalUp="0" diagonalDown="0" outline="0">
        <left style="thin">
          <color rgb="FFBFBFBF"/>
        </left>
        <right style="thin">
          <color rgb="FFBFBFBF"/>
        </right>
        <top style="thin">
          <color rgb="FF70AD47"/>
        </top>
        <bottom style="thin">
          <color rgb="FFBFBFBF"/>
        </bottom>
      </border>
    </dxf>
    <dxf>
      <border diagonalUp="0" diagonalDown="0" outline="0">
        <left style="thin">
          <color rgb="FFBFBFBF"/>
        </left>
        <right style="thin">
          <color rgb="FFBFBFBF"/>
        </right>
        <top style="thin">
          <color rgb="FF70AD47"/>
        </top>
        <bottom style="thin">
          <color rgb="FFBFBFBF"/>
        </bottom>
      </border>
    </dxf>
    <dxf>
      <numFmt numFmtId="0" formatCode="General"/>
    </dxf>
    <dxf>
      <numFmt numFmtId="0" formatCode="General"/>
    </dxf>
    <dxf>
      <alignment horizontal="left"/>
    </dxf>
    <dxf>
      <alignment horizontal="left"/>
    </dxf>
    <dxf>
      <fill>
        <patternFill patternType="solid">
          <fgColor indexed="64"/>
          <bgColor rgb="FFE2F0D9"/>
        </patternFill>
      </fill>
    </dxf>
    <dxf>
      <fill>
        <patternFill patternType="solid">
          <fgColor indexed="64"/>
          <bgColor rgb="FFE2F0D9"/>
        </patternFill>
      </fill>
    </dxf>
    <dxf>
      <font>
        <strike val="0"/>
      </font>
    </dxf>
    <dxf>
      <font>
        <strike val="0"/>
      </font>
    </dxf>
    <dxf>
      <font>
        <u val="none"/>
      </font>
    </dxf>
    <dxf>
      <font>
        <u val="none"/>
      </font>
    </dxf>
    <dxf>
      <font>
        <i val="0"/>
      </font>
    </dxf>
    <dxf>
      <font>
        <i val="0"/>
      </font>
    </dxf>
    <dxf>
      <font>
        <b/>
      </font>
    </dxf>
    <dxf>
      <font>
        <b/>
      </font>
    </dxf>
    <dxf>
      <font>
        <name val="Calibri"/>
      </font>
    </dxf>
    <dxf>
      <font>
        <name val="Calibri"/>
      </font>
    </dxf>
    <dxf>
      <font>
        <sz val="10"/>
      </font>
    </dxf>
    <dxf>
      <font>
        <sz val="10"/>
      </font>
    </dxf>
    <dxf>
      <font>
        <color rgb="FF222222"/>
      </font>
    </dxf>
    <dxf>
      <font>
        <color rgb="FF222222"/>
      </font>
    </dxf>
    <dxf>
      <border diagonalUp="0" diagonalDown="0" outline="0">
        <left style="thin">
          <color rgb="FFD9D9D9"/>
        </left>
        <right style="thin">
          <color rgb="FFD9D9D9"/>
        </right>
        <top style="thin">
          <color rgb="FFBFBFBF"/>
        </top>
        <bottom style="thin">
          <color rgb="FFD9D9D9"/>
        </bottom>
      </border>
    </dxf>
    <dxf>
      <border diagonalUp="0" diagonalDown="0" outline="0">
        <left style="thin">
          <color rgb="FFD9D9D9"/>
        </left>
        <right style="thin">
          <color rgb="FFD9D9D9"/>
        </right>
        <top style="thin">
          <color rgb="FFBFBFBF"/>
        </top>
        <bottom style="thin">
          <color rgb="FFD9D9D9"/>
        </bottom>
      </border>
    </dxf>
    <dxf>
      <border diagonalUp="0" diagonalDown="0" outline="0">
        <left style="thin">
          <color rgb="FFD9D9D9"/>
        </left>
        <right style="thin">
          <color rgb="FFD9D9D9"/>
        </right>
        <top style="thin">
          <color rgb="FFBFBFBF"/>
        </top>
        <bottom style="thin">
          <color rgb="FFD9D9D9"/>
        </bottom>
      </border>
    </dxf>
    <dxf>
      <border diagonalUp="0" diagonalDown="0" outline="0">
        <left style="thin">
          <color rgb="FFD9D9D9"/>
        </left>
        <right style="thin">
          <color rgb="FFD9D9D9"/>
        </right>
        <top style="thin">
          <color rgb="FFBFBFBF"/>
        </top>
        <bottom style="thin">
          <color rgb="FFD9D9D9"/>
        </bottom>
      </border>
    </dxf>
    <dxf>
      <border diagonalUp="0" diagonalDown="0" outline="0">
        <left style="thin">
          <color rgb="FFD9D9D9"/>
        </left>
        <right style="thin">
          <color rgb="FFD9D9D9"/>
        </right>
        <top style="thin">
          <color rgb="FFBFBFBF"/>
        </top>
        <bottom style="thin">
          <color rgb="FFD9D9D9"/>
        </bottom>
      </border>
    </dxf>
    <dxf>
      <border diagonalUp="0" diagonalDown="0" outline="0">
        <left style="thin">
          <color rgb="FFD9D9D9"/>
        </left>
        <right style="thin">
          <color rgb="FFD9D9D9"/>
        </right>
        <top style="thin">
          <color rgb="FFBFBFBF"/>
        </top>
        <bottom style="thin">
          <color rgb="FFD9D9D9"/>
        </bottom>
      </border>
    </dxf>
    <dxf>
      <border diagonalUp="0" diagonalDown="0" outline="0">
        <left style="thin">
          <color rgb="FFD9D9D9"/>
        </left>
        <right style="thin">
          <color rgb="FFBFBFBF"/>
        </right>
        <top style="thin">
          <color rgb="FFBFBFBF"/>
        </top>
        <bottom style="thin">
          <color rgb="FFD9D9D9"/>
        </bottom>
      </border>
    </dxf>
    <dxf>
      <border diagonalUp="0" diagonalDown="0" outline="0">
        <left style="thin">
          <color rgb="FFD9D9D9"/>
        </left>
        <right style="thin">
          <color rgb="FFBFBFBF"/>
        </right>
        <top style="thin">
          <color rgb="FFBFBFBF"/>
        </top>
        <bottom style="thin">
          <color rgb="FFD9D9D9"/>
        </bottom>
      </border>
    </dxf>
    <dxf>
      <border diagonalUp="0" diagonalDown="0" outline="0">
        <left style="thin">
          <color rgb="FFD9D9D9"/>
        </left>
        <right style="thin">
          <color rgb="FFBFBFBF"/>
        </right>
        <top style="thin">
          <color rgb="FFBFBFBF"/>
        </top>
        <bottom style="thin">
          <color rgb="FFD9D9D9"/>
        </bottom>
      </border>
    </dxf>
    <dxf>
      <border diagonalUp="0" diagonalDown="0" outline="0">
        <left style="thin">
          <color rgb="FFD9D9D9"/>
        </left>
        <right style="thin">
          <color rgb="FFBFBFBF"/>
        </right>
        <top style="thin">
          <color rgb="FFBFBFBF"/>
        </top>
        <bottom style="thin">
          <color rgb="FFD9D9D9"/>
        </bottom>
      </border>
    </dxf>
    <dxf>
      <border diagonalUp="0" diagonalDown="0" outline="0">
        <left style="thin">
          <color rgb="FFD9D9D9"/>
        </left>
        <right style="thin">
          <color rgb="FFBFBFBF"/>
        </right>
        <top style="thin">
          <color rgb="FFBFBFBF"/>
        </top>
        <bottom style="thin">
          <color rgb="FFD9D9D9"/>
        </bottom>
      </border>
    </dxf>
    <dxf>
      <border diagonalUp="0" diagonalDown="0" outline="0">
        <left style="thin">
          <color rgb="FFD9D9D9"/>
        </left>
        <right style="thin">
          <color rgb="FFBFBFBF"/>
        </right>
        <top style="thin">
          <color rgb="FFBFBFBF"/>
        </top>
        <bottom style="thin">
          <color rgb="FFD9D9D9"/>
        </bottom>
      </border>
    </dxf>
    <dxf>
      <border diagonalUp="0" diagonalDown="0" outline="0">
        <left style="thin">
          <color rgb="FFBFBFBF"/>
        </left>
        <right style="thin">
          <color rgb="FFBFBFBF"/>
        </right>
        <top style="thin">
          <color rgb="FFBFBFBF"/>
        </top>
        <bottom style="thin">
          <color rgb="FFD9D9D9"/>
        </bottom>
      </border>
    </dxf>
    <dxf>
      <border diagonalUp="0" diagonalDown="0" outline="0">
        <left style="thin">
          <color rgb="FFBFBFBF"/>
        </left>
        <right style="thin">
          <color rgb="FFBFBFBF"/>
        </right>
        <top style="thin">
          <color rgb="FFBFBFBF"/>
        </top>
        <bottom style="thin">
          <color rgb="FFD9D9D9"/>
        </bottom>
      </border>
    </dxf>
    <dxf>
      <border diagonalUp="0" diagonalDown="0" outline="0">
        <left style="thin">
          <color rgb="FFBFBFBF"/>
        </left>
        <right style="thin">
          <color rgb="FFBFBFBF"/>
        </right>
        <top style="thin">
          <color rgb="FFBFBFBF"/>
        </top>
        <bottom style="thin">
          <color rgb="FFD9D9D9"/>
        </bottom>
      </border>
    </dxf>
    <dxf>
      <border diagonalUp="0" diagonalDown="0" outline="0">
        <left style="thin">
          <color rgb="FFBFBFBF"/>
        </left>
        <right style="thin">
          <color rgb="FFBFBFBF"/>
        </right>
        <top style="thin">
          <color rgb="FFBFBFBF"/>
        </top>
        <bottom style="thin">
          <color rgb="FFD9D9D9"/>
        </bottom>
      </border>
    </dxf>
    <dxf>
      <border diagonalUp="0" diagonalDown="0" outline="0">
        <left style="thin">
          <color rgb="FFBFBFBF"/>
        </left>
        <right style="thin">
          <color rgb="FFBFBFBF"/>
        </right>
        <top style="thin">
          <color rgb="FFBFBFBF"/>
        </top>
        <bottom style="thin">
          <color rgb="FFD9D9D9"/>
        </bottom>
      </border>
    </dxf>
    <dxf>
      <border diagonalUp="0" diagonalDown="0" outline="0">
        <left style="thin">
          <color rgb="FFBFBFBF"/>
        </left>
        <right style="thin">
          <color rgb="FFBFBFBF"/>
        </right>
        <top style="thin">
          <color rgb="FFBFBFBF"/>
        </top>
        <bottom style="thin">
          <color rgb="FFD9D9D9"/>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D9D9D9"/>
        </top>
        <bottom style="thin">
          <color rgb="FFBFBFBF"/>
        </bottom>
      </border>
    </dxf>
    <dxf>
      <border diagonalUp="0" diagonalDown="0" outline="0">
        <left style="thin">
          <color rgb="FFBFBFBF"/>
        </left>
        <right style="thin">
          <color rgb="FFBFBFBF"/>
        </right>
        <top style="thin">
          <color rgb="FFD9D9D9"/>
        </top>
        <bottom style="thin">
          <color rgb="FFBFBFBF"/>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alignment horizontal="left"/>
    </dxf>
    <dxf>
      <alignment horizontal="left"/>
    </dxf>
    <dxf>
      <fill>
        <patternFill patternType="solid">
          <fgColor indexed="64"/>
          <bgColor rgb="FFFFFFFF"/>
        </patternFill>
      </fill>
    </dxf>
    <dxf>
      <fill>
        <patternFill patternType="solid">
          <fgColor indexed="64"/>
          <bgColor rgb="FFFFFFFF"/>
        </patternFill>
      </fill>
    </dxf>
    <dxf>
      <font>
        <strike val="0"/>
      </font>
    </dxf>
    <dxf>
      <font>
        <strike val="0"/>
      </font>
    </dxf>
    <dxf>
      <font>
        <u val="none"/>
      </font>
    </dxf>
    <dxf>
      <font>
        <u val="none"/>
      </font>
    </dxf>
    <dxf>
      <font>
        <i val="0"/>
      </font>
    </dxf>
    <dxf>
      <font>
        <i val="0"/>
      </font>
    </dxf>
    <dxf>
      <font>
        <b val="0"/>
      </font>
    </dxf>
    <dxf>
      <font>
        <b val="0"/>
      </font>
    </dxf>
    <dxf>
      <font>
        <name val="Calibri"/>
      </font>
    </dxf>
    <dxf>
      <font>
        <name val="Calibri"/>
      </font>
    </dxf>
    <dxf>
      <font>
        <sz val="10"/>
      </font>
    </dxf>
    <dxf>
      <font>
        <sz val="10"/>
      </font>
    </dxf>
    <dxf>
      <font>
        <color rgb="FF222222"/>
      </font>
    </dxf>
    <dxf>
      <font>
        <color rgb="FF222222"/>
      </font>
    </dxf>
    <dxf>
      <border diagonalUp="0" diagonalDown="0" outline="0">
        <left style="thin">
          <color rgb="FFBFBFBF"/>
        </left>
        <right style="thin">
          <color rgb="FFBFBFBF"/>
        </right>
        <top style="thin">
          <color rgb="FF4472C4"/>
        </top>
        <bottom style="thin">
          <color rgb="FFBFBFBF"/>
        </bottom>
      </border>
    </dxf>
    <dxf>
      <border diagonalUp="0" diagonalDown="0" outline="0">
        <left style="thin">
          <color rgb="FFBFBFBF"/>
        </left>
        <right style="thin">
          <color rgb="FFBFBFBF"/>
        </right>
        <top style="thin">
          <color rgb="FF4472C4"/>
        </top>
        <bottom style="thin">
          <color rgb="FFBFBFBF"/>
        </bottom>
      </border>
    </dxf>
    <dxf>
      <border diagonalUp="0" diagonalDown="0" outline="0">
        <left style="thin">
          <color rgb="FFBFBFBF"/>
        </left>
        <right style="thin">
          <color rgb="FFBFBFBF"/>
        </right>
        <top style="thin">
          <color rgb="FF4472C4"/>
        </top>
        <bottom style="thin">
          <color rgb="FFBFBFBF"/>
        </bottom>
      </border>
    </dxf>
    <dxf>
      <border diagonalUp="0" diagonalDown="0" outline="0">
        <left style="thin">
          <color rgb="FFBFBFBF"/>
        </left>
        <right style="thin">
          <color rgb="FFBFBFBF"/>
        </right>
        <top style="thin">
          <color rgb="FF4472C4"/>
        </top>
        <bottom style="thin">
          <color rgb="FFBFBFBF"/>
        </bottom>
      </border>
    </dxf>
    <dxf>
      <border diagonalUp="0" diagonalDown="0" outline="0">
        <left style="thin">
          <color rgb="FFBFBFBF"/>
        </left>
        <right style="thin">
          <color rgb="FFBFBFBF"/>
        </right>
        <top style="thin">
          <color rgb="FF4472C4"/>
        </top>
        <bottom style="thin">
          <color rgb="FFBFBFBF"/>
        </bottom>
      </border>
    </dxf>
    <dxf>
      <border diagonalUp="0" diagonalDown="0" outline="0">
        <left style="thin">
          <color rgb="FFBFBFBF"/>
        </left>
        <right style="thin">
          <color rgb="FFBFBFBF"/>
        </right>
        <top style="thin">
          <color rgb="FF4472C4"/>
        </top>
        <bottom style="thin">
          <color rgb="FFBFBFBF"/>
        </bottom>
      </border>
    </dxf>
    <dxf>
      <border diagonalUp="0" diagonalDown="0" outline="0">
        <left style="thin">
          <color rgb="FFBFBFBF"/>
        </left>
        <right style="thin">
          <color rgb="FFBFBFBF"/>
        </right>
        <top style="thin">
          <color rgb="FF4472C4"/>
        </top>
        <bottom style="thin">
          <color rgb="FFBFBFBF"/>
        </bottom>
      </border>
    </dxf>
    <dxf>
      <border diagonalUp="0" diagonalDown="0" outline="0">
        <left style="thin">
          <color rgb="FFBFBFBF"/>
        </left>
        <right style="thin">
          <color rgb="FFBFBFBF"/>
        </right>
        <top style="thin">
          <color rgb="FF4472C4"/>
        </top>
        <bottom style="thin">
          <color rgb="FFBFBFBF"/>
        </bottom>
      </border>
    </dxf>
    <dxf>
      <border diagonalUp="0" diagonalDown="0" outline="0">
        <left style="thin">
          <color rgb="FFBFBFBF"/>
        </left>
        <right style="thin">
          <color rgb="FFBFBFBF"/>
        </right>
        <top style="thin">
          <color rgb="FF4472C4"/>
        </top>
        <bottom style="thin">
          <color rgb="FFBFBFBF"/>
        </bottom>
      </border>
    </dxf>
    <dxf>
      <border diagonalUp="0" diagonalDown="0" outline="0">
        <left style="thin">
          <color rgb="FFBFBFBF"/>
        </left>
        <right style="thin">
          <color rgb="FFBFBFBF"/>
        </right>
        <top style="thin">
          <color rgb="FF4472C4"/>
        </top>
        <bottom style="thin">
          <color rgb="FFBFBFBF"/>
        </bottom>
      </border>
    </dxf>
    <dxf>
      <border diagonalUp="0" diagonalDown="0" outline="0">
        <left style="thin">
          <color rgb="FFBFBFBF"/>
        </left>
        <right style="thin">
          <color rgb="FFBFBFBF"/>
        </right>
        <top style="thin">
          <color rgb="FF4472C4"/>
        </top>
        <bottom style="thin">
          <color rgb="FFBFBFBF"/>
        </bottom>
      </border>
    </dxf>
    <dxf>
      <border diagonalUp="0" diagonalDown="0" outline="0">
        <left style="thin">
          <color rgb="FFBFBFBF"/>
        </left>
        <right style="thin">
          <color rgb="FFBFBFBF"/>
        </right>
        <top style="thin">
          <color rgb="FF4472C4"/>
        </top>
        <bottom style="thin">
          <color rgb="FFBFBFBF"/>
        </bottom>
      </border>
    </dxf>
    <dxf>
      <border diagonalUp="0" diagonalDown="0" outline="0">
        <left style="thin">
          <color rgb="FFBFBFBF"/>
        </left>
        <right style="thin">
          <color rgb="FFBFBFBF"/>
        </right>
        <top style="thin">
          <color rgb="FF4472C4"/>
        </top>
        <bottom style="thin">
          <color rgb="FFBFBFBF"/>
        </bottom>
      </border>
    </dxf>
    <dxf>
      <border diagonalUp="0" diagonalDown="0" outline="0">
        <left style="thin">
          <color rgb="FFBFBFBF"/>
        </left>
        <right style="thin">
          <color rgb="FFBFBFBF"/>
        </right>
        <top style="thin">
          <color rgb="FF4472C4"/>
        </top>
        <bottom style="thin">
          <color rgb="FFBFBFBF"/>
        </bottom>
      </border>
    </dxf>
    <dxf>
      <border diagonalUp="0" diagonalDown="0" outline="0">
        <left style="thin">
          <color rgb="FFBFBFBF"/>
        </left>
        <right style="thin">
          <color rgb="FFBFBFBF"/>
        </right>
        <top style="thin">
          <color rgb="FF4472C4"/>
        </top>
        <bottom style="thin">
          <color rgb="FFBFBFBF"/>
        </bottom>
      </border>
    </dxf>
    <dxf>
      <border diagonalUp="0" diagonalDown="0" outline="0">
        <left style="thin">
          <color rgb="FFBFBFBF"/>
        </left>
        <right style="thin">
          <color rgb="FFBFBFBF"/>
        </right>
        <top style="thin">
          <color rgb="FF4472C4"/>
        </top>
        <bottom style="thin">
          <color rgb="FFBFBFBF"/>
        </bottom>
      </border>
    </dxf>
    <dxf>
      <border diagonalUp="0" diagonalDown="0" outline="0">
        <left style="thin">
          <color rgb="FFBFBFBF"/>
        </left>
        <right style="thin">
          <color rgb="FFBFBFBF"/>
        </right>
        <top style="thin">
          <color rgb="FF4472C4"/>
        </top>
        <bottom style="thin">
          <color rgb="FFBFBFBF"/>
        </bottom>
      </border>
    </dxf>
    <dxf>
      <border diagonalUp="0" diagonalDown="0" outline="0">
        <left style="thin">
          <color rgb="FFBFBFBF"/>
        </left>
        <right style="thin">
          <color rgb="FFBFBFBF"/>
        </right>
        <top style="thin">
          <color rgb="FF4472C4"/>
        </top>
        <bottom style="thin">
          <color rgb="FFBFBFBF"/>
        </bottom>
      </border>
    </dxf>
    <dxf>
      <border diagonalUp="0" diagonalDown="0" outline="0">
        <left style="thin">
          <color rgb="FFBFBFBF"/>
        </left>
        <right style="thin">
          <color rgb="FFBFBFBF"/>
        </right>
        <top style="thin">
          <color rgb="FF4472C4"/>
        </top>
        <bottom style="thin">
          <color rgb="FFBFBFBF"/>
        </bottom>
      </border>
    </dxf>
    <dxf>
      <border diagonalUp="0" diagonalDown="0" outline="0">
        <left style="thin">
          <color rgb="FFBFBFBF"/>
        </left>
        <right style="thin">
          <color rgb="FFBFBFBF"/>
        </right>
        <top style="thin">
          <color rgb="FF4472C4"/>
        </top>
        <bottom style="thin">
          <color rgb="FFBFBFBF"/>
        </bottom>
      </border>
    </dxf>
    <dxf>
      <border diagonalUp="0" diagonalDown="0" outline="0">
        <left style="thin">
          <color rgb="FFBFBFBF"/>
        </left>
        <right style="thin">
          <color rgb="FFBFBFBF"/>
        </right>
        <top style="thin">
          <color rgb="FF4472C4"/>
        </top>
        <bottom style="thin">
          <color rgb="FFBFBFBF"/>
        </bottom>
      </border>
    </dxf>
    <dxf>
      <border diagonalUp="0" diagonalDown="0" outline="0">
        <left style="thin">
          <color rgb="FFBFBFBF"/>
        </left>
        <right style="thin">
          <color rgb="FFBFBFBF"/>
        </right>
        <top style="thin">
          <color rgb="FF4472C4"/>
        </top>
        <bottom style="thin">
          <color rgb="FFBFBFBF"/>
        </bottom>
      </border>
    </dxf>
    <dxf>
      <border diagonalUp="0" diagonalDown="0" outline="0">
        <left style="thin">
          <color rgb="FFBFBFBF"/>
        </left>
        <right style="thin">
          <color rgb="FFBFBFBF"/>
        </right>
        <top style="thin">
          <color rgb="FF4472C4"/>
        </top>
        <bottom style="thin">
          <color rgb="FFBFBFBF"/>
        </bottom>
      </border>
    </dxf>
    <dxf>
      <border diagonalUp="0" diagonalDown="0" outline="0">
        <left style="thin">
          <color rgb="FFBFBFBF"/>
        </left>
        <right style="thin">
          <color rgb="FFBFBFBF"/>
        </right>
        <top style="thin">
          <color rgb="FF4472C4"/>
        </top>
        <bottom style="thin">
          <color rgb="FFBFBFBF"/>
        </bottom>
      </border>
    </dxf>
    <dxf>
      <border diagonalUp="0" diagonalDown="0" outline="0">
        <left style="thin">
          <color rgb="FFBFBFBF"/>
        </left>
        <right style="thin">
          <color rgb="FFBFBFBF"/>
        </right>
        <top style="thin">
          <color rgb="FF4472C4"/>
        </top>
        <bottom style="thin">
          <color rgb="FFBFBFBF"/>
        </bottom>
      </border>
    </dxf>
    <dxf>
      <border diagonalUp="0" diagonalDown="0" outline="0">
        <left style="thin">
          <color rgb="FFBFBFBF"/>
        </left>
        <right style="thin">
          <color rgb="FFBFBFBF"/>
        </right>
        <top style="thin">
          <color rgb="FF4472C4"/>
        </top>
        <bottom style="thin">
          <color rgb="FFBFBFBF"/>
        </bottom>
      </border>
    </dxf>
    <dxf>
      <border diagonalUp="0" diagonalDown="0" outline="0">
        <left style="thin">
          <color rgb="FFBFBFBF"/>
        </left>
        <right style="thin">
          <color rgb="FFBFBFBF"/>
        </right>
        <top style="thin">
          <color rgb="FF4472C4"/>
        </top>
        <bottom style="thin">
          <color rgb="FFBFBFBF"/>
        </bottom>
      </border>
    </dxf>
    <dxf>
      <border diagonalUp="0" diagonalDown="0" outline="0">
        <left style="thin">
          <color rgb="FFBFBFBF"/>
        </left>
        <right style="thin">
          <color rgb="FFBFBFBF"/>
        </right>
        <top style="thin">
          <color rgb="FF4472C4"/>
        </top>
        <bottom style="thin">
          <color rgb="FFBFBFBF"/>
        </bottom>
      </border>
    </dxf>
    <dxf>
      <border diagonalUp="0" diagonalDown="0" outline="0">
        <left style="thin">
          <color rgb="FFBFBFBF"/>
        </left>
        <right style="thin">
          <color rgb="FFBFBFBF"/>
        </right>
        <top style="thin">
          <color rgb="FF4472C4"/>
        </top>
        <bottom style="thin">
          <color rgb="FFBFBFBF"/>
        </bottom>
      </border>
    </dxf>
    <dxf>
      <border diagonalUp="0" diagonalDown="0" outline="0">
        <left style="thin">
          <color rgb="FFBFBFBF"/>
        </left>
        <right style="thin">
          <color rgb="FFBFBFBF"/>
        </right>
        <top style="thin">
          <color rgb="FF4472C4"/>
        </top>
        <bottom style="thin">
          <color rgb="FFBFBFBF"/>
        </bottom>
      </border>
    </dxf>
    <dxf>
      <border diagonalUp="0" diagonalDown="0" outline="0">
        <left style="thin">
          <color rgb="FFBFBFBF"/>
        </left>
        <right style="thin">
          <color rgb="FFBFBFBF"/>
        </right>
        <top style="thin">
          <color rgb="FF4472C4"/>
        </top>
        <bottom style="thin">
          <color rgb="FFBFBFBF"/>
        </bottom>
      </border>
    </dxf>
    <dxf>
      <border diagonalUp="0" diagonalDown="0" outline="0">
        <left style="thin">
          <color rgb="FFBFBFBF"/>
        </left>
        <right style="thin">
          <color rgb="FFBFBFBF"/>
        </right>
        <top style="thin">
          <color rgb="FF4472C4"/>
        </top>
        <bottom style="thin">
          <color rgb="FFBFBFBF"/>
        </bottom>
      </border>
    </dxf>
    <dxf>
      <border diagonalUp="0" diagonalDown="0" outline="0">
        <left style="thin">
          <color rgb="FFBFBFBF"/>
        </left>
        <right style="thin">
          <color rgb="FFBFBFBF"/>
        </right>
        <top style="thin">
          <color rgb="FF4472C4"/>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numFmt numFmtId="0" formatCode="General"/>
    </dxf>
    <dxf>
      <numFmt numFmtId="0" formatCode="General"/>
    </dxf>
    <dxf>
      <numFmt numFmtId="0" formatCode="General"/>
    </dxf>
    <dxf>
      <alignment horizontal="center"/>
    </dxf>
    <dxf>
      <alignment horizontal="center"/>
    </dxf>
    <dxf>
      <alignment horizontal="center"/>
    </dxf>
    <dxf>
      <fill>
        <patternFill patternType="solid">
          <fgColor indexed="64"/>
          <bgColor rgb="FFD9EAF7"/>
        </patternFill>
      </fill>
    </dxf>
    <dxf>
      <fill>
        <patternFill patternType="solid">
          <fgColor indexed="64"/>
          <bgColor rgb="FFD9EAF7"/>
        </patternFill>
      </fill>
    </dxf>
    <dxf>
      <fill>
        <patternFill patternType="solid">
          <fgColor indexed="64"/>
          <bgColor rgb="FFD9EAF7"/>
        </patternFill>
      </fill>
    </dxf>
    <dxf>
      <font>
        <strike val="0"/>
      </font>
    </dxf>
    <dxf>
      <font>
        <strike val="0"/>
      </font>
    </dxf>
    <dxf>
      <font>
        <strike val="0"/>
      </font>
    </dxf>
    <dxf>
      <font>
        <u val="none"/>
      </font>
    </dxf>
    <dxf>
      <font>
        <u val="none"/>
      </font>
    </dxf>
    <dxf>
      <font>
        <u val="none"/>
      </font>
    </dxf>
    <dxf>
      <font>
        <i val="0"/>
      </font>
    </dxf>
    <dxf>
      <font>
        <i val="0"/>
      </font>
    </dxf>
    <dxf>
      <font>
        <i val="0"/>
      </font>
    </dxf>
    <dxf>
      <font>
        <b/>
      </font>
    </dxf>
    <dxf>
      <font>
        <b/>
      </font>
    </dxf>
    <dxf>
      <font>
        <b/>
      </font>
    </dxf>
    <dxf>
      <font>
        <name val="Calibri"/>
      </font>
    </dxf>
    <dxf>
      <font>
        <name val="Calibri"/>
      </font>
    </dxf>
    <dxf>
      <font>
        <name val="Calibri"/>
      </font>
    </dxf>
    <dxf>
      <font>
        <sz val="10"/>
      </font>
    </dxf>
    <dxf>
      <font>
        <sz val="10"/>
      </font>
    </dxf>
    <dxf>
      <font>
        <sz val="10"/>
      </font>
    </dxf>
    <dxf>
      <font>
        <color rgb="FF1F4E79"/>
      </font>
    </dxf>
    <dxf>
      <font>
        <color rgb="FF1F4E79"/>
      </font>
    </dxf>
    <dxf>
      <font>
        <color rgb="FF1F4E79"/>
      </font>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font>
        <b/>
      </font>
    </dxf>
    <dxf>
      <font>
        <b/>
      </font>
    </dxf>
    <dxf>
      <fill>
        <patternFill patternType="solid">
          <fgColor indexed="64"/>
          <bgColor rgb="FFE2F0D9"/>
        </patternFill>
      </fill>
    </dxf>
    <dxf>
      <fill>
        <patternFill patternType="solid">
          <fgColor indexed="64"/>
          <bgColor rgb="FFE2F0D9"/>
        </patternFill>
      </fill>
    </dxf>
    <dxf>
      <font>
        <color rgb="FF222222"/>
      </font>
    </dxf>
    <dxf>
      <font>
        <color rgb="FF222222"/>
      </font>
    </dxf>
    <dxf>
      <fill>
        <patternFill patternType="solid">
          <fgColor indexed="64"/>
          <bgColor rgb="FFFFFFFF"/>
        </patternFill>
      </fill>
    </dxf>
    <dxf>
      <fill>
        <patternFill patternType="solid">
          <fgColor indexed="64"/>
          <bgColor rgb="FFFFFFFF"/>
        </patternFill>
      </fill>
    </dxf>
    <dxf>
      <alignment horizontal="center"/>
    </dxf>
    <dxf>
      <alignment horizontal="center"/>
    </dxf>
    <dxf>
      <alignment horizontal="center"/>
    </dxf>
    <dxf>
      <font>
        <b/>
      </font>
    </dxf>
    <dxf>
      <font>
        <b/>
      </font>
    </dxf>
    <dxf>
      <font>
        <b/>
      </font>
    </dxf>
    <dxf>
      <font>
        <color rgb="FF1F4E79"/>
      </font>
    </dxf>
    <dxf>
      <font>
        <color rgb="FF1F4E79"/>
      </font>
    </dxf>
    <dxf>
      <font>
        <color rgb="FF1F4E79"/>
      </font>
    </dxf>
    <dxf>
      <fill>
        <patternFill patternType="solid">
          <fgColor indexed="64"/>
          <bgColor rgb="FFD9EAF7"/>
        </patternFill>
      </fill>
    </dxf>
    <dxf>
      <fill>
        <patternFill patternType="solid">
          <fgColor indexed="64"/>
          <bgColor rgb="FFD9EAF7"/>
        </patternFill>
      </fill>
    </dxf>
    <dxf>
      <fill>
        <patternFill patternType="solid">
          <fgColor indexed="64"/>
          <bgColor rgb="FFD9EAF7"/>
        </patternFill>
      </fill>
    </dxf>
    <dxf>
      <font>
        <sz val="10"/>
      </font>
    </dxf>
    <dxf>
      <font>
        <sz val="10"/>
      </font>
    </dxf>
    <dxf>
      <font>
        <sz val="10"/>
      </font>
    </dxf>
    <dxf>
      <font>
        <sz val="10"/>
      </font>
    </dxf>
    <dxf>
      <font>
        <sz val="10"/>
      </font>
    </dxf>
    <dxf>
      <font>
        <sz val="10"/>
      </font>
    </dxf>
    <dxf>
      <font>
        <sz val="10"/>
      </font>
    </dxf>
    <dxf>
      <font>
        <name val="Calibri"/>
      </font>
    </dxf>
    <dxf>
      <font>
        <name val="Calibri"/>
      </font>
    </dxf>
    <dxf>
      <font>
        <name val="Calibri"/>
      </font>
    </dxf>
    <dxf>
      <font>
        <name val="Calibri"/>
      </font>
    </dxf>
    <dxf>
      <font>
        <name val="Calibri"/>
      </font>
    </dxf>
    <dxf>
      <font>
        <name val="Calibri"/>
      </font>
    </dxf>
    <dxf>
      <font>
        <name val="Calibri"/>
      </font>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auto="1"/>
        </right>
        <top style="thin">
          <color rgb="FFBFBFBF"/>
        </top>
        <bottom style="thin">
          <color rgb="FFBFBFBF"/>
        </bottom>
      </border>
    </dxf>
    <dxf>
      <border diagonalUp="0" diagonalDown="0" outline="0">
        <left style="thin">
          <color rgb="FFBFBFBF"/>
        </left>
        <right style="thin">
          <color auto="1"/>
        </right>
        <top style="thin">
          <color rgb="FFBFBFBF"/>
        </top>
        <bottom style="thin">
          <color rgb="FFBFBFBF"/>
        </bottom>
      </border>
    </dxf>
    <dxf>
      <border diagonalUp="0" diagonalDown="0" outline="0">
        <left style="thin">
          <color rgb="FFBFBFBF"/>
        </left>
        <right style="thin">
          <color auto="1"/>
        </right>
        <top style="thin">
          <color rgb="FFBFBFBF"/>
        </top>
        <bottom style="thin">
          <color rgb="FFBFBFBF"/>
        </bottom>
      </border>
    </dxf>
    <dxf>
      <border diagonalUp="0" diagonalDown="0" outline="0">
        <left style="thin">
          <color rgb="FFBFBFBF"/>
        </left>
        <right style="thin">
          <color auto="1"/>
        </right>
        <top style="thin">
          <color rgb="FFBFBFBF"/>
        </top>
        <bottom style="thin">
          <color rgb="FFBFBFBF"/>
        </bottom>
      </border>
    </dxf>
    <dxf>
      <border diagonalUp="0" diagonalDown="0" outline="0">
        <left style="thin">
          <color rgb="FFBFBFBF"/>
        </left>
        <right style="thin">
          <color auto="1"/>
        </right>
        <top style="thin">
          <color rgb="FFBFBFBF"/>
        </top>
        <bottom style="thin">
          <color rgb="FFBFBFBF"/>
        </bottom>
      </border>
    </dxf>
    <dxf>
      <border diagonalUp="0" diagonalDown="0" outline="0">
        <left style="thin">
          <color rgb="FFBFBFBF"/>
        </left>
        <right style="thin">
          <color auto="1"/>
        </right>
        <top style="thin">
          <color rgb="FFBFBFBF"/>
        </top>
        <bottom style="thin">
          <color rgb="FFBFBFBF"/>
        </bottom>
      </border>
    </dxf>
    <dxf>
      <border diagonalUp="0" diagonalDown="0" outline="0">
        <left style="thin">
          <color rgb="FFBFBFBF"/>
        </left>
        <right style="thin">
          <color auto="1"/>
        </right>
        <top style="thin">
          <color rgb="FFBFBFBF"/>
        </top>
        <bottom style="thin">
          <color rgb="FFBFBFBF"/>
        </bottom>
      </border>
    </dxf>
    <dxf>
      <border diagonalUp="0" diagonalDown="0" outline="0">
        <left style="thin">
          <color rgb="FFBFBFBF"/>
        </left>
        <right style="thin">
          <color auto="1"/>
        </right>
        <top style="thin">
          <color rgb="FFBFBFBF"/>
        </top>
        <bottom style="thin">
          <color rgb="FFBFBFBF"/>
        </bottom>
      </border>
    </dxf>
    <dxf>
      <border diagonalUp="0" diagonalDown="0" outline="0">
        <left style="thin">
          <color rgb="FFBFBFBF"/>
        </left>
        <right style="thin">
          <color auto="1"/>
        </right>
        <top style="thin">
          <color rgb="FFBFBFBF"/>
        </top>
        <bottom style="thin">
          <color rgb="FFBFBFBF"/>
        </bottom>
      </border>
    </dxf>
    <dxf>
      <border diagonalUp="0" diagonalDown="0" outline="0">
        <left style="thin">
          <color rgb="FFBFBFBF"/>
        </left>
        <right style="thin">
          <color auto="1"/>
        </right>
        <top style="thin">
          <color rgb="FFBFBFBF"/>
        </top>
        <bottom style="thin">
          <color rgb="FFBFBFBF"/>
        </bottom>
      </border>
    </dxf>
    <dxf>
      <border diagonalUp="0" diagonalDown="0" outline="0">
        <left style="thin">
          <color rgb="FFBFBFBF"/>
        </left>
        <right style="thin">
          <color auto="1"/>
        </right>
        <top style="thin">
          <color rgb="FFBFBFBF"/>
        </top>
        <bottom style="thin">
          <color rgb="FFBFBFBF"/>
        </bottom>
      </border>
    </dxf>
    <dxf>
      <border diagonalUp="0" diagonalDown="0" outline="0">
        <left style="thin">
          <color rgb="FFBFBFBF"/>
        </left>
        <right style="thin">
          <color auto="1"/>
        </right>
        <top style="thin">
          <color rgb="FFBFBFBF"/>
        </top>
        <bottom style="thin">
          <color rgb="FFBFBFBF"/>
        </bottom>
      </border>
    </dxf>
    <dxf>
      <border diagonalUp="0" diagonalDown="0" outline="0">
        <left style="thin">
          <color rgb="FFBFBFBF"/>
        </left>
        <right style="thin">
          <color auto="1"/>
        </right>
        <top style="thin">
          <color rgb="FFBFBFBF"/>
        </top>
        <bottom style="thin">
          <color rgb="FFBFBFBF"/>
        </bottom>
      </border>
    </dxf>
    <dxf>
      <border diagonalUp="0" diagonalDown="0" outline="0">
        <left style="thin">
          <color rgb="FFBFBFBF"/>
        </left>
        <right style="thin">
          <color auto="1"/>
        </right>
        <top style="thin">
          <color rgb="FFBFBFBF"/>
        </top>
        <bottom style="thin">
          <color rgb="FFBFBFBF"/>
        </bottom>
      </border>
    </dxf>
    <dxf>
      <border diagonalUp="0" diagonalDown="0" outline="0">
        <left style="thin">
          <color rgb="FFBFBFBF"/>
        </left>
        <right/>
        <top style="thin">
          <color rgb="FFBFBFBF"/>
        </top>
        <bottom style="thin">
          <color rgb="FFBFBFBF"/>
        </bottom>
      </border>
    </dxf>
    <dxf>
      <border diagonalUp="0" diagonalDown="0" outline="0">
        <left style="thin">
          <color rgb="FFBFBFBF"/>
        </left>
        <right/>
        <top style="thin">
          <color rgb="FFBFBFBF"/>
        </top>
        <bottom style="thin">
          <color rgb="FFBFBFBF"/>
        </bottom>
      </border>
    </dxf>
    <dxf>
      <border diagonalUp="0" diagonalDown="0" outline="0">
        <left style="thin">
          <color rgb="FFBFBFBF"/>
        </left>
        <right/>
        <top style="thin">
          <color rgb="FFBFBFBF"/>
        </top>
        <bottom style="thin">
          <color rgb="FFBFBFBF"/>
        </bottom>
      </border>
    </dxf>
    <dxf>
      <border diagonalUp="0" diagonalDown="0" outline="0">
        <left style="thin">
          <color rgb="FFBFBFBF"/>
        </left>
        <right/>
        <top style="thin">
          <color rgb="FFBFBFBF"/>
        </top>
        <bottom style="thin">
          <color rgb="FFBFBFBF"/>
        </bottom>
      </border>
    </dxf>
    <dxf>
      <border diagonalUp="0" diagonalDown="0" outline="0">
        <left style="thin">
          <color rgb="FFBFBFBF"/>
        </left>
        <right/>
        <top style="thin">
          <color rgb="FFBFBFBF"/>
        </top>
        <bottom style="thin">
          <color rgb="FFBFBFBF"/>
        </bottom>
      </border>
    </dxf>
    <dxf>
      <border diagonalUp="0" diagonalDown="0" outline="0">
        <left style="thin">
          <color rgb="FFBFBFBF"/>
        </left>
        <right/>
        <top style="thin">
          <color rgb="FFBFBFBF"/>
        </top>
        <bottom style="thin">
          <color rgb="FFBFBFBF"/>
        </bottom>
      </border>
    </dxf>
    <dxf>
      <border diagonalUp="0" diagonalDown="0" outline="0">
        <left style="thin">
          <color rgb="FFBFBFBF"/>
        </left>
        <right/>
        <top style="thin">
          <color rgb="FFBFBFBF"/>
        </top>
        <bottom style="thin">
          <color rgb="FFBFBFBF"/>
        </bottom>
      </border>
    </dxf>
    <dxf>
      <border diagonalUp="0" diagonalDown="0" outline="0">
        <left style="thin">
          <color indexed="64"/>
        </left>
        <right/>
        <top style="thin">
          <color rgb="FFBFBFBF"/>
        </top>
        <bottom style="thin">
          <color rgb="FFBFBFBF"/>
        </bottom>
      </border>
    </dxf>
    <dxf>
      <border diagonalUp="0" diagonalDown="0" outline="0">
        <left style="thin">
          <color indexed="64"/>
        </left>
        <right/>
        <top style="thin">
          <color rgb="FFBFBFBF"/>
        </top>
        <bottom style="thin">
          <color rgb="FFBFBFBF"/>
        </bottom>
      </border>
    </dxf>
    <dxf>
      <border diagonalUp="0" diagonalDown="0" outline="0">
        <left style="thin">
          <color indexed="64"/>
        </left>
        <right/>
        <top style="thin">
          <color rgb="FFBFBFBF"/>
        </top>
        <bottom style="thin">
          <color rgb="FFBFBFBF"/>
        </bottom>
      </border>
    </dxf>
    <dxf>
      <border diagonalUp="0" diagonalDown="0" outline="0">
        <left style="thin">
          <color indexed="64"/>
        </left>
        <right/>
        <top style="thin">
          <color rgb="FFBFBFBF"/>
        </top>
        <bottom style="thin">
          <color rgb="FFBFBFBF"/>
        </bottom>
      </border>
    </dxf>
    <dxf>
      <border diagonalUp="0" diagonalDown="0" outline="0">
        <left style="thin">
          <color indexed="64"/>
        </left>
        <right/>
        <top style="thin">
          <color rgb="FFBFBFBF"/>
        </top>
        <bottom style="thin">
          <color rgb="FFBFBFBF"/>
        </bottom>
      </border>
    </dxf>
    <dxf>
      <border diagonalUp="0" diagonalDown="0" outline="0">
        <left style="thin">
          <color indexed="64"/>
        </left>
        <right/>
        <top style="thin">
          <color rgb="FFBFBFBF"/>
        </top>
        <bottom style="thin">
          <color rgb="FFBFBFBF"/>
        </bottom>
      </border>
    </dxf>
    <dxf>
      <border diagonalUp="0" diagonalDown="0" outline="0">
        <left style="thin">
          <color indexed="64"/>
        </left>
        <right/>
        <top style="thin">
          <color rgb="FFBFBFBF"/>
        </top>
        <bottom style="thin">
          <color rgb="FFBFBFBF"/>
        </bottom>
      </border>
    </dxf>
    <dxf>
      <border diagonalUp="0" diagonalDown="0" outline="0">
        <left style="thin">
          <color auto="1"/>
        </left>
        <right/>
        <top style="thin">
          <color rgb="FFBFBFBF"/>
        </top>
        <bottom style="thin">
          <color rgb="FFBFBFBF"/>
        </bottom>
      </border>
    </dxf>
    <dxf>
      <border diagonalUp="0" diagonalDown="0" outline="0">
        <left style="thin">
          <color auto="1"/>
        </left>
        <right/>
        <top style="thin">
          <color rgb="FFBFBFBF"/>
        </top>
        <bottom style="thin">
          <color rgb="FFBFBFBF"/>
        </bottom>
      </border>
    </dxf>
    <dxf>
      <border diagonalUp="0" diagonalDown="0" outline="0">
        <left style="thin">
          <color auto="1"/>
        </left>
        <right/>
        <top style="thin">
          <color rgb="FFBFBFBF"/>
        </top>
        <bottom style="thin">
          <color rgb="FFBFBFBF"/>
        </bottom>
      </border>
    </dxf>
    <dxf>
      <border diagonalUp="0" diagonalDown="0" outline="0">
        <left style="thin">
          <color auto="1"/>
        </left>
        <right/>
        <top style="thin">
          <color rgb="FFBFBFBF"/>
        </top>
        <bottom style="thin">
          <color rgb="FFBFBFBF"/>
        </bottom>
      </border>
    </dxf>
    <dxf>
      <border diagonalUp="0" diagonalDown="0" outline="0">
        <left style="thin">
          <color auto="1"/>
        </left>
        <right/>
        <top style="thin">
          <color rgb="FFBFBFBF"/>
        </top>
        <bottom style="thin">
          <color rgb="FFBFBFBF"/>
        </bottom>
      </border>
    </dxf>
    <dxf>
      <border diagonalUp="0" diagonalDown="0" outline="0">
        <left style="thin">
          <color auto="1"/>
        </left>
        <right/>
        <top style="thin">
          <color rgb="FFBFBFBF"/>
        </top>
        <bottom style="thin">
          <color rgb="FFBFBFBF"/>
        </bottom>
      </border>
    </dxf>
    <dxf>
      <border diagonalUp="0" diagonalDown="0" outline="0">
        <left style="thin">
          <color auto="1"/>
        </left>
        <right/>
        <top style="thin">
          <color rgb="FFBFBFBF"/>
        </top>
        <bottom style="thin">
          <color rgb="FFBFBFBF"/>
        </bottom>
      </border>
    </dxf>
    <dxf>
      <border diagonalUp="0" diagonalDown="0" outline="0">
        <left/>
        <right/>
        <top style="thin">
          <color rgb="FFBFBFBF"/>
        </top>
        <bottom style="thin">
          <color rgb="FFBFBFBF"/>
        </bottom>
      </border>
    </dxf>
    <dxf>
      <border diagonalUp="0" diagonalDown="0" outline="0">
        <left/>
        <right/>
        <top style="thin">
          <color rgb="FFBFBFBF"/>
        </top>
        <bottom style="thin">
          <color rgb="FFBFBFBF"/>
        </bottom>
      </border>
    </dxf>
    <dxf>
      <border diagonalUp="0" diagonalDown="0" outline="0">
        <left/>
        <right/>
        <top style="thin">
          <color rgb="FFBFBFBF"/>
        </top>
        <bottom style="thin">
          <color rgb="FFBFBFBF"/>
        </bottom>
      </border>
    </dxf>
    <dxf>
      <border diagonalUp="0" diagonalDown="0" outline="0">
        <left/>
        <right/>
        <top style="thin">
          <color rgb="FFBFBFBF"/>
        </top>
        <bottom style="thin">
          <color rgb="FFBFBFBF"/>
        </bottom>
      </border>
    </dxf>
    <dxf>
      <border diagonalUp="0" diagonalDown="0" outline="0">
        <left/>
        <right/>
        <top style="thin">
          <color rgb="FFBFBFBF"/>
        </top>
        <bottom style="thin">
          <color rgb="FFBFBFBF"/>
        </bottom>
      </border>
    </dxf>
    <dxf>
      <border diagonalUp="0" diagonalDown="0" outline="0">
        <left/>
        <right/>
        <top style="thin">
          <color rgb="FFBFBFBF"/>
        </top>
        <bottom style="thin">
          <color rgb="FFBFBFBF"/>
        </bottom>
      </border>
    </dxf>
    <dxf>
      <border diagonalUp="0" diagonalDown="0" outline="0">
        <left/>
        <right/>
        <top style="thin">
          <color rgb="FFBFBFBF"/>
        </top>
        <bottom style="thin">
          <color rgb="FFBFBFBF"/>
        </bottom>
      </border>
    </dxf>
    <dxf>
      <border diagonalUp="0" diagonalDown="0" outline="0">
        <left/>
        <right/>
        <top style="thin">
          <color rgb="FFBFBFBF"/>
        </top>
        <bottom style="thin">
          <color indexed="64"/>
        </bottom>
      </border>
    </dxf>
    <dxf>
      <border diagonalUp="0" diagonalDown="0" outline="0">
        <left/>
        <right/>
        <top style="thin">
          <color rgb="FFBFBFBF"/>
        </top>
        <bottom style="thin">
          <color indexed="64"/>
        </bottom>
      </border>
    </dxf>
    <dxf>
      <border diagonalUp="0" diagonalDown="0" outline="0">
        <left/>
        <right/>
        <top style="thin">
          <color rgb="FFBFBFBF"/>
        </top>
        <bottom style="thin">
          <color indexed="64"/>
        </bottom>
      </border>
    </dxf>
    <dxf>
      <border diagonalUp="0" diagonalDown="0" outline="0">
        <left/>
        <right/>
        <top style="thin">
          <color rgb="FFBFBFBF"/>
        </top>
        <bottom style="thin">
          <color indexed="64"/>
        </bottom>
      </border>
    </dxf>
    <dxf>
      <border diagonalUp="0" diagonalDown="0" outline="0">
        <left/>
        <right/>
        <top style="thin">
          <color rgb="FFBFBFBF"/>
        </top>
        <bottom style="thin">
          <color indexed="64"/>
        </bottom>
      </border>
    </dxf>
    <dxf>
      <border diagonalUp="0" diagonalDown="0" outline="0">
        <left/>
        <right/>
        <top style="thin">
          <color rgb="FFBFBFBF"/>
        </top>
        <bottom style="thin">
          <color indexed="64"/>
        </bottom>
      </border>
    </dxf>
    <dxf>
      <border diagonalUp="0" diagonalDown="0" outline="0">
        <left/>
        <right/>
        <top style="thin">
          <color rgb="FFBFBFBF"/>
        </top>
        <bottom style="thin">
          <color indexed="64"/>
        </bottom>
      </border>
    </dxf>
    <dxf>
      <border diagonalUp="0" diagonalDown="0" outline="0">
        <left/>
        <right/>
        <top style="thin">
          <color rgb="FFBFBFBF"/>
        </top>
        <bottom style="thin">
          <color auto="1"/>
        </bottom>
      </border>
    </dxf>
    <dxf>
      <border diagonalUp="0" diagonalDown="0" outline="0">
        <left/>
        <right/>
        <top style="thin">
          <color rgb="FFBFBFBF"/>
        </top>
        <bottom style="thin">
          <color auto="1"/>
        </bottom>
      </border>
    </dxf>
    <dxf>
      <border diagonalUp="0" diagonalDown="0" outline="0">
        <left/>
        <right/>
        <top style="thin">
          <color rgb="FFBFBFBF"/>
        </top>
        <bottom style="thin">
          <color auto="1"/>
        </bottom>
      </border>
    </dxf>
    <dxf>
      <border diagonalUp="0" diagonalDown="0" outline="0">
        <left/>
        <right/>
        <top style="thin">
          <color rgb="FFBFBFBF"/>
        </top>
        <bottom style="thin">
          <color auto="1"/>
        </bottom>
      </border>
    </dxf>
    <dxf>
      <border diagonalUp="0" diagonalDown="0" outline="0">
        <left/>
        <right/>
        <top style="thin">
          <color rgb="FFBFBFBF"/>
        </top>
        <bottom style="thin">
          <color auto="1"/>
        </bottom>
      </border>
    </dxf>
    <dxf>
      <border diagonalUp="0" diagonalDown="0" outline="0">
        <left/>
        <right/>
        <top style="thin">
          <color rgb="FFBFBFBF"/>
        </top>
        <bottom style="thin">
          <color auto="1"/>
        </bottom>
      </border>
    </dxf>
    <dxf>
      <border diagonalUp="0" diagonalDown="0" outline="0">
        <left/>
        <right/>
        <top style="thin">
          <color rgb="FFBFBFBF"/>
        </top>
        <bottom style="thin">
          <color auto="1"/>
        </bottom>
      </border>
    </dxf>
    <dxf>
      <border diagonalUp="0" diagonalDown="0" outline="0">
        <left/>
        <right/>
        <top style="thin">
          <color rgb="FFBFBFBF"/>
        </top>
        <bottom/>
      </border>
    </dxf>
    <dxf>
      <border diagonalUp="0" diagonalDown="0" outline="0">
        <left/>
        <right/>
        <top style="thin">
          <color rgb="FFBFBFBF"/>
        </top>
        <bottom/>
      </border>
    </dxf>
    <dxf>
      <border diagonalUp="0" diagonalDown="0" outline="0">
        <left/>
        <right/>
        <top style="thin">
          <color rgb="FFBFBFBF"/>
        </top>
        <bottom/>
      </border>
    </dxf>
    <dxf>
      <border diagonalUp="0" diagonalDown="0" outline="0">
        <left/>
        <right/>
        <top style="thin">
          <color rgb="FFBFBFBF"/>
        </top>
        <bottom/>
      </border>
    </dxf>
    <dxf>
      <border diagonalUp="0" diagonalDown="0" outline="0">
        <left/>
        <right/>
        <top style="thin">
          <color rgb="FFBFBFBF"/>
        </top>
        <bottom/>
      </border>
    </dxf>
    <dxf>
      <border diagonalUp="0" diagonalDown="0" outline="0">
        <left/>
        <right/>
        <top style="thin">
          <color rgb="FFBFBFBF"/>
        </top>
        <bottom/>
      </border>
    </dxf>
    <dxf>
      <border diagonalUp="0" diagonalDown="0" outline="0">
        <left/>
        <right/>
        <top style="thin">
          <color rgb="FFBFBFBF"/>
        </top>
        <bottom/>
      </border>
    </dxf>
    <dxf>
      <border diagonalUp="0" diagonalDown="0" outline="0">
        <left/>
        <right/>
        <top style="thin">
          <color indexed="64"/>
        </top>
        <bottom/>
      </border>
    </dxf>
    <dxf>
      <border diagonalUp="0" diagonalDown="0" outline="0">
        <left/>
        <right/>
        <top style="thin">
          <color indexed="64"/>
        </top>
        <bottom/>
      </border>
    </dxf>
    <dxf>
      <border diagonalUp="0" diagonalDown="0" outline="0">
        <left/>
        <right/>
        <top style="thin">
          <color indexed="64"/>
        </top>
        <bottom/>
      </border>
    </dxf>
    <dxf>
      <border diagonalUp="0" diagonalDown="0" outline="0">
        <left/>
        <right/>
        <top style="thin">
          <color indexed="64"/>
        </top>
        <bottom/>
      </border>
    </dxf>
    <dxf>
      <border diagonalUp="0" diagonalDown="0" outline="0">
        <left/>
        <right/>
        <top style="thin">
          <color indexed="64"/>
        </top>
        <bottom/>
      </border>
    </dxf>
    <dxf>
      <border diagonalUp="0" diagonalDown="0" outline="0">
        <left/>
        <right/>
        <top style="thin">
          <color indexed="64"/>
        </top>
        <bottom/>
      </border>
    </dxf>
    <dxf>
      <border diagonalUp="0" diagonalDown="0" outline="0">
        <left/>
        <right/>
        <top style="thin">
          <color indexed="64"/>
        </top>
        <bottom/>
      </border>
    </dxf>
    <dxf>
      <border diagonalUp="0" diagonalDown="0" outline="0">
        <left/>
        <right/>
        <top style="thin">
          <color auto="1"/>
        </top>
        <bottom/>
      </border>
    </dxf>
    <dxf>
      <border diagonalUp="0" diagonalDown="0" outline="0">
        <left/>
        <right/>
        <top style="thin">
          <color auto="1"/>
        </top>
        <bottom/>
      </border>
    </dxf>
    <dxf>
      <border diagonalUp="0" diagonalDown="0" outline="0">
        <left/>
        <right/>
        <top style="thin">
          <color auto="1"/>
        </top>
        <bottom/>
      </border>
    </dxf>
    <dxf>
      <border diagonalUp="0" diagonalDown="0" outline="0">
        <left/>
        <right/>
        <top style="thin">
          <color auto="1"/>
        </top>
        <bottom/>
      </border>
    </dxf>
    <dxf>
      <border diagonalUp="0" diagonalDown="0" outline="0">
        <left/>
        <right/>
        <top style="thin">
          <color auto="1"/>
        </top>
        <bottom/>
      </border>
    </dxf>
    <dxf>
      <border diagonalUp="0" diagonalDown="0" outline="0">
        <left/>
        <right/>
        <top style="thin">
          <color auto="1"/>
        </top>
        <bottom/>
      </border>
    </dxf>
    <dxf>
      <border diagonalUp="0" diagonalDown="0" outline="0">
        <left/>
        <right/>
        <top style="thin">
          <color auto="1"/>
        </top>
        <bottom/>
      </border>
    </dxf>
    <dxf>
      <font>
        <b/>
      </font>
    </dxf>
    <dxf>
      <font>
        <b/>
      </font>
    </dxf>
    <dxf>
      <font>
        <color rgb="FF222222"/>
      </font>
    </dxf>
    <dxf>
      <font>
        <color rgb="FF222222"/>
      </font>
    </dxf>
    <dxf>
      <fill>
        <patternFill patternType="solid">
          <fgColor indexed="64"/>
          <bgColor rgb="FFE2F0D9"/>
        </patternFill>
      </fill>
    </dxf>
    <dxf>
      <fill>
        <patternFill patternType="solid">
          <fgColor indexed="64"/>
          <bgColor rgb="FFE2F0D9"/>
        </patternFill>
      </fill>
    </dxf>
    <dxf>
      <font>
        <color rgb="FF222222"/>
      </font>
    </dxf>
    <dxf>
      <font>
        <color rgb="FF222222"/>
      </font>
    </dxf>
    <dxf>
      <fill>
        <patternFill patternType="solid">
          <fgColor indexed="64"/>
          <bgColor rgb="FFFFFFFF"/>
        </patternFill>
      </fill>
    </dxf>
    <dxf>
      <fill>
        <patternFill patternType="solid">
          <fgColor indexed="64"/>
          <bgColor rgb="FFFFFFFF"/>
        </patternFill>
      </fill>
    </dxf>
    <dxf>
      <alignment horizontal="center"/>
    </dxf>
    <dxf>
      <alignment horizontal="center"/>
    </dxf>
    <dxf>
      <alignment horizontal="center"/>
    </dxf>
    <dxf>
      <font>
        <b/>
      </font>
    </dxf>
    <dxf>
      <font>
        <b/>
      </font>
    </dxf>
    <dxf>
      <font>
        <b/>
      </font>
    </dxf>
    <dxf>
      <font>
        <color rgb="FF1F4E79"/>
      </font>
    </dxf>
    <dxf>
      <font>
        <color rgb="FF1F4E79"/>
      </font>
    </dxf>
    <dxf>
      <font>
        <color rgb="FF1F4E79"/>
      </font>
    </dxf>
    <dxf>
      <fill>
        <patternFill patternType="solid">
          <fgColor indexed="64"/>
          <bgColor rgb="FFD9EAF7"/>
        </patternFill>
      </fill>
    </dxf>
    <dxf>
      <fill>
        <patternFill patternType="solid">
          <fgColor indexed="64"/>
          <bgColor rgb="FFD9EAF7"/>
        </patternFill>
      </fill>
    </dxf>
    <dxf>
      <fill>
        <patternFill patternType="solid">
          <fgColor indexed="64"/>
          <bgColor rgb="FFD9EAF7"/>
        </patternFill>
      </fill>
    </dxf>
    <dxf>
      <font>
        <sz val="10"/>
      </font>
    </dxf>
    <dxf>
      <font>
        <sz val="10"/>
      </font>
    </dxf>
    <dxf>
      <font>
        <sz val="10"/>
      </font>
    </dxf>
    <dxf>
      <font>
        <sz val="10"/>
      </font>
    </dxf>
    <dxf>
      <font>
        <sz val="10"/>
      </font>
    </dxf>
    <dxf>
      <font>
        <sz val="10"/>
      </font>
    </dxf>
    <dxf>
      <font>
        <sz val="10"/>
      </font>
    </dxf>
    <dxf>
      <font>
        <name val="Calibri"/>
      </font>
    </dxf>
    <dxf>
      <font>
        <name val="Calibri"/>
      </font>
    </dxf>
    <dxf>
      <font>
        <name val="Calibri"/>
      </font>
    </dxf>
    <dxf>
      <font>
        <name val="Calibri"/>
      </font>
    </dxf>
    <dxf>
      <font>
        <name val="Calibri"/>
      </font>
    </dxf>
    <dxf>
      <font>
        <name val="Calibri"/>
      </font>
    </dxf>
    <dxf>
      <font>
        <name val="Calibri"/>
      </font>
    </dxf>
    <dxf>
      <numFmt numFmtId="0" formatCode="General"/>
    </dxf>
    <dxf>
      <alignment horizontal="left"/>
    </dxf>
    <dxf>
      <fill>
        <patternFill patternType="solid">
          <fgColor indexed="64"/>
          <bgColor rgb="FFE2F0D9"/>
        </patternFill>
      </fill>
    </dxf>
    <dxf>
      <font>
        <b/>
      </font>
    </dxf>
    <dxf>
      <font>
        <color rgb="FF222222"/>
      </font>
    </dxf>
    <dxf>
      <border diagonalUp="0" diagonalDown="0" outline="0">
        <left style="medium">
          <color rgb="FF70AD47"/>
        </left>
        <right style="medium">
          <color rgb="FF70AD47"/>
        </right>
        <top style="medium">
          <color rgb="FF70AD47"/>
        </top>
        <bottom style="medium">
          <color rgb="FF70AD47"/>
        </bottom>
      </border>
    </dxf>
    <dxf>
      <border diagonalUp="0" diagonalDown="0" outline="0">
        <left style="medium">
          <color rgb="FF70AD47"/>
        </left>
        <right style="medium">
          <color rgb="FF70AD47"/>
        </right>
        <top style="medium">
          <color rgb="FF70AD47"/>
        </top>
        <bottom style="medium">
          <color rgb="FF70AD47"/>
        </bottom>
      </border>
    </dxf>
    <dxf>
      <border diagonalUp="0" diagonalDown="0" outline="0">
        <left style="medium">
          <color rgb="FF70AD47"/>
        </left>
        <right style="thin">
          <color rgb="FF70AD47"/>
        </right>
        <top style="medium">
          <color rgb="FF70AD47"/>
        </top>
        <bottom style="medium">
          <color rgb="FF70AD47"/>
        </bottom>
      </border>
    </dxf>
    <dxf>
      <border diagonalUp="0" diagonalDown="0" outline="0">
        <left style="medium">
          <color rgb="FF70AD47"/>
        </left>
        <right style="thin">
          <color rgb="FF70AD47"/>
        </right>
        <top style="medium">
          <color rgb="FF70AD47"/>
        </top>
        <bottom style="medium">
          <color rgb="FF70AD47"/>
        </bottom>
      </border>
    </dxf>
    <dxf>
      <border diagonalUp="0" diagonalDown="0" outline="0">
        <left style="medium">
          <color rgb="FF70AD47"/>
        </left>
        <right style="thin">
          <color rgb="FF70AD47"/>
        </right>
        <top style="medium">
          <color rgb="FF70AD47"/>
        </top>
        <bottom style="medium">
          <color rgb="FF70AD47"/>
        </bottom>
      </border>
    </dxf>
    <dxf>
      <border diagonalUp="0" diagonalDown="0" outline="0">
        <left style="medium">
          <color rgb="FF70AD47"/>
        </left>
        <right style="thin">
          <color rgb="FF70AD47"/>
        </right>
        <top style="medium">
          <color rgb="FF70AD47"/>
        </top>
        <bottom style="medium">
          <color rgb="FF70AD47"/>
        </bottom>
      </border>
    </dxf>
    <dxf>
      <border diagonalUp="0" diagonalDown="0" outline="0">
        <left style="medium">
          <color rgb="FF70AD47"/>
        </left>
        <right style="thin">
          <color rgb="FFD9D9D9"/>
        </right>
        <top style="medium">
          <color rgb="FF70AD47"/>
        </top>
        <bottom style="medium">
          <color rgb="FF70AD47"/>
        </bottom>
      </border>
    </dxf>
    <dxf>
      <border diagonalUp="0" diagonalDown="0" outline="0">
        <left style="medium">
          <color rgb="FF70AD47"/>
        </left>
        <right style="thin">
          <color rgb="FFD9D9D9"/>
        </right>
        <top style="medium">
          <color rgb="FF70AD47"/>
        </top>
        <bottom style="medium">
          <color rgb="FF70AD47"/>
        </bottom>
      </border>
    </dxf>
    <dxf>
      <border diagonalUp="0" diagonalDown="0" outline="0">
        <left style="medium">
          <color rgb="FF70AD47"/>
        </left>
        <right style="thin">
          <color rgb="FFD9D9D9"/>
        </right>
        <top style="medium">
          <color rgb="FF70AD47"/>
        </top>
        <bottom style="medium">
          <color rgb="FF70AD47"/>
        </bottom>
      </border>
    </dxf>
    <dxf>
      <border diagonalUp="0" diagonalDown="0" outline="0">
        <left style="medium">
          <color rgb="FF70AD47"/>
        </left>
        <right style="thin">
          <color rgb="FFD9D9D9"/>
        </right>
        <top style="medium">
          <color rgb="FF70AD47"/>
        </top>
        <bottom style="medium">
          <color rgb="FF70AD47"/>
        </bottom>
      </border>
    </dxf>
    <dxf>
      <border diagonalUp="0" diagonalDown="0" outline="0">
        <left style="medium">
          <color rgb="FF70AD47"/>
        </left>
        <right style="thin">
          <color rgb="FFD9D9D9"/>
        </right>
        <top style="medium">
          <color rgb="FF70AD47"/>
        </top>
        <bottom style="medium">
          <color rgb="FF70AD47"/>
        </bottom>
      </border>
    </dxf>
    <dxf>
      <border diagonalUp="0" diagonalDown="0" outline="0">
        <left style="medium">
          <color rgb="FF70AD47"/>
        </left>
        <right style="thin">
          <color rgb="FFD9D9D9"/>
        </right>
        <top style="medium">
          <color rgb="FF70AD47"/>
        </top>
        <bottom style="medium">
          <color rgb="FF70AD47"/>
        </bottom>
      </border>
    </dxf>
    <dxf>
      <border diagonalUp="0" diagonalDown="0" outline="0">
        <left style="medium">
          <color rgb="FF70AD47"/>
        </left>
        <right style="thin">
          <color rgb="FFD9D9D9"/>
        </right>
        <top style="medium">
          <color rgb="FF70AD47"/>
        </top>
        <bottom style="medium">
          <color rgb="FF70AD47"/>
        </bottom>
      </border>
    </dxf>
    <dxf>
      <border diagonalUp="0" diagonalDown="0" outline="0">
        <left style="medium">
          <color rgb="FF70AD47"/>
        </left>
        <right style="thin">
          <color rgb="FFD9D9D9"/>
        </right>
        <top style="medium">
          <color rgb="FF70AD47"/>
        </top>
        <bottom style="medium">
          <color rgb="FF70AD47"/>
        </bottom>
      </border>
    </dxf>
    <dxf>
      <border diagonalUp="0" diagonalDown="0" outline="0">
        <left style="medium">
          <color rgb="FF70AD47"/>
        </left>
        <right style="thin">
          <color rgb="FFD9D9D9"/>
        </right>
        <top style="medium">
          <color rgb="FF70AD47"/>
        </top>
        <bottom style="thin">
          <color rgb="FF70AD47"/>
        </bottom>
      </border>
    </dxf>
    <dxf>
      <border diagonalUp="0" diagonalDown="0" outline="0">
        <left style="medium">
          <color rgb="FF70AD47"/>
        </left>
        <right style="thin">
          <color rgb="FFD9D9D9"/>
        </right>
        <top style="medium">
          <color rgb="FF70AD47"/>
        </top>
        <bottom style="thin">
          <color rgb="FF70AD47"/>
        </bottom>
      </border>
    </dxf>
    <dxf>
      <border diagonalUp="0" diagonalDown="0" outline="0">
        <left style="medium">
          <color rgb="FF70AD47"/>
        </left>
        <right style="thin">
          <color rgb="FFD9D9D9"/>
        </right>
        <top style="medium">
          <color rgb="FF70AD47"/>
        </top>
        <bottom style="thin">
          <color rgb="FF70AD47"/>
        </bottom>
      </border>
    </dxf>
    <dxf>
      <border diagonalUp="0" diagonalDown="0" outline="0">
        <left style="medium">
          <color rgb="FF70AD47"/>
        </left>
        <right style="thin">
          <color rgb="FFD9D9D9"/>
        </right>
        <top style="medium">
          <color rgb="FF70AD47"/>
        </top>
        <bottom style="thin">
          <color rgb="FF70AD47"/>
        </bottom>
      </border>
    </dxf>
    <dxf>
      <border diagonalUp="0" diagonalDown="0" outline="0">
        <left style="medium">
          <color rgb="FF70AD47"/>
        </left>
        <right style="thin">
          <color rgb="FFD9D9D9"/>
        </right>
        <top style="medium">
          <color rgb="FF70AD47"/>
        </top>
      </border>
    </dxf>
    <dxf>
      <border diagonalUp="0" diagonalDown="0" outline="0">
        <left style="medium">
          <color rgb="FF70AD47"/>
        </left>
        <right style="thin">
          <color rgb="FFD9D9D9"/>
        </right>
        <top style="medium">
          <color rgb="FF70AD47"/>
        </top>
      </border>
    </dxf>
    <dxf>
      <border diagonalUp="0" diagonalDown="0" outline="0">
        <left style="medium">
          <color rgb="FF70AD47"/>
        </left>
        <right style="thin">
          <color rgb="FFD9D9D9"/>
        </right>
        <top style="medium">
          <color rgb="FF70AD47"/>
        </top>
      </border>
    </dxf>
    <dxf>
      <border diagonalUp="0" diagonalDown="0" outline="0">
        <left style="medium">
          <color rgb="FF70AD47"/>
        </left>
        <right style="thin">
          <color rgb="FFD9D9D9"/>
        </right>
        <top style="medium">
          <color rgb="FF70AD47"/>
        </top>
      </border>
    </dxf>
    <dxf>
      <border diagonalUp="0" diagonalDown="0" outline="0">
        <left style="medium">
          <color rgb="FF70AD47"/>
        </left>
        <right style="thin">
          <color rgb="FFD9D9D9"/>
        </right>
        <top style="medium">
          <color rgb="FF70AD47"/>
        </top>
      </border>
    </dxf>
    <dxf>
      <border diagonalUp="0" diagonalDown="0" outline="0">
        <left style="medium">
          <color rgb="FF70AD47"/>
        </left>
        <right style="thin">
          <color rgb="FFD9D9D9"/>
        </right>
        <top style="medium">
          <color rgb="FF70AD47"/>
        </top>
      </border>
    </dxf>
    <dxf>
      <numFmt numFmtId="1" formatCode="0"/>
    </dxf>
    <dxf>
      <numFmt numFmtId="1" formatCode="0"/>
    </dxf>
    <dxf>
      <alignment horizontal="right"/>
    </dxf>
    <dxf>
      <alignment horizontal="right"/>
    </dxf>
    <dxf>
      <fill>
        <patternFill patternType="solid">
          <fgColor indexed="64"/>
          <bgColor rgb="FFE2F0D9"/>
        </patternFill>
      </fill>
    </dxf>
    <dxf>
      <fill>
        <patternFill patternType="solid">
          <fgColor indexed="64"/>
          <bgColor rgb="FFE2F0D9"/>
        </patternFill>
      </fill>
    </dxf>
    <dxf>
      <font>
        <strike val="0"/>
      </font>
    </dxf>
    <dxf>
      <font>
        <strike val="0"/>
      </font>
    </dxf>
    <dxf>
      <font>
        <u val="none"/>
      </font>
    </dxf>
    <dxf>
      <font>
        <u val="none"/>
      </font>
    </dxf>
    <dxf>
      <font>
        <i val="0"/>
      </font>
    </dxf>
    <dxf>
      <font>
        <i val="0"/>
      </font>
    </dxf>
    <dxf>
      <font>
        <b/>
      </font>
    </dxf>
    <dxf>
      <font>
        <b/>
      </font>
    </dxf>
    <dxf>
      <font>
        <name val="Calibri"/>
      </font>
    </dxf>
    <dxf>
      <font>
        <name val="Calibri"/>
      </font>
    </dxf>
    <dxf>
      <font>
        <sz val="10"/>
      </font>
    </dxf>
    <dxf>
      <font>
        <sz val="10"/>
      </font>
    </dxf>
    <dxf>
      <font>
        <color rgb="FF222222"/>
      </font>
    </dxf>
    <dxf>
      <font>
        <color rgb="FF222222"/>
      </font>
    </dxf>
    <dxf>
      <border diagonalUp="0" diagonalDown="0" outline="0">
        <left style="thin">
          <color rgb="FFD9D9D9"/>
        </left>
        <right style="thin">
          <color rgb="FFD9D9D9"/>
        </right>
        <top style="thin">
          <color rgb="FFD9D9D9"/>
        </top>
        <bottom style="thin">
          <color rgb="FFD9D9D9"/>
        </bottom>
      </border>
    </dxf>
    <dxf>
      <border diagonalUp="0" diagonalDown="0" outline="0">
        <left style="thin">
          <color rgb="FFD9D9D9"/>
        </left>
        <right style="medium">
          <color rgb="FFD9D9D9"/>
        </right>
        <top style="thin">
          <color rgb="FFD9D9D9"/>
        </top>
        <bottom style="thin">
          <color rgb="FFD9D9D9"/>
        </bottom>
      </border>
    </dxf>
    <dxf>
      <border diagonalUp="0" diagonalDown="0" outline="0">
        <left style="thin">
          <color rgb="FFD9D9D9"/>
        </left>
        <right style="medium">
          <color rgb="FFD9D9D9"/>
        </right>
        <top style="thin">
          <color rgb="FFD9D9D9"/>
        </top>
        <bottom style="thin">
          <color rgb="FFD9D9D9"/>
        </bottom>
      </border>
    </dxf>
    <dxf>
      <border diagonalUp="0" diagonalDown="0" outline="0">
        <left style="thin">
          <color rgb="FFD9D9D9"/>
        </left>
        <top style="thin">
          <color rgb="FFD9D9D9"/>
        </top>
        <bottom style="thin">
          <color rgb="FFD9D9D9"/>
        </bottom>
      </border>
    </dxf>
    <dxf>
      <border diagonalUp="0" diagonalDown="0" outline="0">
        <left style="thin">
          <color rgb="FFD9D9D9"/>
        </left>
        <top style="thin">
          <color rgb="FFD9D9D9"/>
        </top>
        <bottom style="thin">
          <color rgb="FFD9D9D9"/>
        </bottom>
      </border>
    </dxf>
    <dxf>
      <border diagonalUp="0" diagonalDown="0" outline="0">
        <left style="thin">
          <color rgb="FFD9D9D9"/>
        </left>
        <top style="thin">
          <color rgb="FFD9D9D9"/>
        </top>
        <bottom style="thin">
          <color rgb="FFD9D9D9"/>
        </bottom>
      </border>
    </dxf>
    <dxf>
      <border diagonalUp="0" diagonalDown="0" outline="0">
        <left style="thin">
          <color rgb="FFBFBFBF"/>
        </left>
        <top style="thin">
          <color rgb="FFD9D9D9"/>
        </top>
        <bottom style="thin">
          <color rgb="FFD9D9D9"/>
        </bottom>
      </border>
    </dxf>
    <dxf>
      <border diagonalUp="0" diagonalDown="0" outline="0">
        <left style="thin">
          <color rgb="FFBFBFBF"/>
        </left>
        <top style="thin">
          <color rgb="FFD9D9D9"/>
        </top>
        <bottom style="medium">
          <color rgb="FFD9D9D9"/>
        </bottom>
      </border>
    </dxf>
    <dxf>
      <border diagonalUp="0" diagonalDown="0" outline="0">
        <left style="thin">
          <color rgb="FFBFBFBF"/>
        </left>
        <top style="thin">
          <color rgb="FFD9D9D9"/>
        </top>
        <bottom style="medium">
          <color rgb="FFD9D9D9"/>
        </bottom>
      </border>
    </dxf>
    <dxf>
      <border diagonalUp="0" diagonalDown="0" outline="0">
        <left style="thin">
          <color rgb="FFBFBFBF"/>
        </left>
        <top style="thin">
          <color rgb="FFD9D9D9"/>
        </top>
        <bottom style="medium">
          <color rgb="FF70AD47"/>
        </bottom>
      </border>
    </dxf>
    <dxf>
      <border diagonalUp="0" diagonalDown="0" outline="0">
        <left style="thin">
          <color rgb="FFBFBFBF"/>
        </left>
        <top style="thin">
          <color rgb="FFD9D9D9"/>
        </top>
        <bottom style="medium">
          <color rgb="FF70AD47"/>
        </bottom>
      </border>
    </dxf>
    <dxf>
      <border diagonalUp="0" diagonalDown="0" outline="0">
        <left style="thin">
          <color rgb="FFBFBFBF"/>
        </left>
        <top style="thin">
          <color rgb="FFD9D9D9"/>
        </top>
        <bottom style="medium">
          <color rgb="FF70AD47"/>
        </bottom>
      </border>
    </dxf>
    <dxf>
      <numFmt numFmtId="1" formatCode="0"/>
    </dxf>
    <dxf>
      <numFmt numFmtId="1" formatCode="0"/>
    </dxf>
    <dxf>
      <numFmt numFmtId="1" formatCode="0"/>
    </dxf>
    <dxf>
      <numFmt numFmtId="1" formatCode="0"/>
    </dxf>
    <dxf>
      <numFmt numFmtId="1" formatCode="0"/>
    </dxf>
    <dxf>
      <alignment horizontal="right"/>
    </dxf>
    <dxf>
      <fill>
        <patternFill patternType="solid">
          <fgColor indexed="64"/>
          <bgColor rgb="FFFFFFFF"/>
        </patternFill>
      </fill>
    </dxf>
    <dxf>
      <font>
        <strike val="0"/>
      </font>
    </dxf>
    <dxf>
      <font>
        <u val="none"/>
      </font>
    </dxf>
    <dxf>
      <font>
        <i val="0"/>
      </font>
    </dxf>
    <dxf>
      <font>
        <b val="0"/>
      </font>
    </dxf>
    <dxf>
      <font>
        <name val="Calibri"/>
      </font>
    </dxf>
    <dxf>
      <font>
        <sz val="10"/>
      </font>
    </dxf>
    <dxf>
      <font>
        <color rgb="FF222222"/>
      </font>
    </dxf>
    <dxf>
      <border diagonalUp="0" diagonalDown="0" outline="0">
        <left style="medium">
          <color rgb="FF70AD47"/>
        </left>
        <right style="medium">
          <color rgb="FF70AD47"/>
        </right>
        <top style="medium">
          <color rgb="FF70AD47"/>
        </top>
        <bottom style="medium">
          <color rgb="FF70AD47"/>
        </bottom>
      </border>
    </dxf>
    <dxf>
      <border diagonalUp="0" diagonalDown="0" outline="0">
        <left style="medium">
          <color rgb="FF70AD47"/>
        </left>
        <right style="medium">
          <color rgb="FF70AD47"/>
        </right>
        <top style="medium">
          <color rgb="FF70AD47"/>
        </top>
        <bottom style="medium">
          <color rgb="FF70AD47"/>
        </bottom>
      </border>
    </dxf>
    <dxf>
      <border diagonalUp="0" diagonalDown="0" outline="0">
        <left style="medium">
          <color rgb="FF70AD47"/>
        </left>
        <right style="thin">
          <color rgb="FF70AD47"/>
        </right>
        <top style="medium">
          <color rgb="FF70AD47"/>
        </top>
        <bottom style="medium">
          <color rgb="FF70AD47"/>
        </bottom>
      </border>
    </dxf>
    <dxf>
      <border diagonalUp="0" diagonalDown="0" outline="0">
        <left style="medium">
          <color rgb="FF70AD47"/>
        </left>
        <right style="thin">
          <color rgb="FF70AD47"/>
        </right>
        <top style="medium">
          <color rgb="FF70AD47"/>
        </top>
        <bottom style="medium">
          <color rgb="FF70AD47"/>
        </bottom>
      </border>
    </dxf>
    <dxf>
      <border diagonalUp="0" diagonalDown="0" outline="0">
        <left style="medium">
          <color rgb="FF70AD47"/>
        </left>
        <right style="thin">
          <color rgb="FF70AD47"/>
        </right>
        <top style="medium">
          <color rgb="FF70AD47"/>
        </top>
        <bottom style="medium">
          <color rgb="FF70AD47"/>
        </bottom>
      </border>
    </dxf>
    <dxf>
      <border diagonalUp="0" diagonalDown="0" outline="0">
        <left style="medium">
          <color rgb="FF70AD47"/>
        </left>
        <right style="thin">
          <color rgb="FF70AD47"/>
        </right>
        <top style="medium">
          <color rgb="FF70AD47"/>
        </top>
        <bottom style="medium">
          <color rgb="FF70AD47"/>
        </bottom>
      </border>
    </dxf>
    <dxf>
      <border diagonalUp="0" diagonalDown="0" outline="0">
        <left style="medium">
          <color rgb="FF70AD47"/>
        </left>
        <right style="thin">
          <color rgb="FFBFBFBF"/>
        </right>
        <top style="medium">
          <color rgb="FF70AD47"/>
        </top>
        <bottom style="medium">
          <color rgb="FF70AD47"/>
        </bottom>
      </border>
    </dxf>
    <dxf>
      <border diagonalUp="0" diagonalDown="0" outline="0">
        <left style="medium">
          <color rgb="FF70AD47"/>
        </left>
        <right style="thin">
          <color rgb="FFBFBFBF"/>
        </right>
        <top style="medium">
          <color rgb="FF70AD47"/>
        </top>
        <bottom style="medium">
          <color rgb="FF70AD47"/>
        </bottom>
      </border>
    </dxf>
    <dxf>
      <border diagonalUp="0" diagonalDown="0" outline="0">
        <left style="thin">
          <color rgb="FF70AD47"/>
        </left>
        <right style="thin">
          <color rgb="FFBFBFBF"/>
        </right>
        <top style="medium">
          <color rgb="FF70AD47"/>
        </top>
        <bottom style="medium">
          <color rgb="FF70AD47"/>
        </bottom>
      </border>
    </dxf>
    <dxf>
      <border diagonalUp="0" diagonalDown="0" outline="0">
        <left style="thin">
          <color rgb="FF70AD47"/>
        </left>
        <right style="thin">
          <color rgb="FFBFBFBF"/>
        </right>
        <top style="medium">
          <color rgb="FF70AD47"/>
        </top>
        <bottom style="medium">
          <color rgb="FF70AD47"/>
        </bottom>
      </border>
    </dxf>
    <dxf>
      <border diagonalUp="0" diagonalDown="0" outline="0">
        <left style="thin">
          <color rgb="FF70AD47"/>
        </left>
        <right style="thin">
          <color rgb="FFBFBFBF"/>
        </right>
        <top style="medium">
          <color rgb="FF70AD47"/>
        </top>
        <bottom style="medium">
          <color rgb="FF70AD47"/>
        </bottom>
      </border>
    </dxf>
    <dxf>
      <border diagonalUp="0" diagonalDown="0" outline="0">
        <left style="thin">
          <color rgb="FF70AD47"/>
        </left>
        <right style="thin">
          <color rgb="FFBFBFBF"/>
        </right>
        <top style="medium">
          <color rgb="FF70AD47"/>
        </top>
        <bottom style="medium">
          <color rgb="FF70AD47"/>
        </bottom>
      </border>
    </dxf>
    <dxf>
      <border diagonalUp="0" diagonalDown="0" outline="0">
        <left style="thin">
          <color rgb="FFBFBFBF"/>
        </left>
        <right style="thin">
          <color rgb="FFBFBFBF"/>
        </right>
        <top style="medium">
          <color rgb="FF70AD47"/>
        </top>
        <bottom style="medium">
          <color rgb="FF70AD47"/>
        </bottom>
      </border>
    </dxf>
    <dxf>
      <border diagonalUp="0" diagonalDown="0" outline="0">
        <left style="thin">
          <color rgb="FFBFBFBF"/>
        </left>
        <right style="thin">
          <color rgb="FFBFBFBF"/>
        </right>
        <top style="medium">
          <color rgb="FF70AD47"/>
        </top>
        <bottom style="medium">
          <color rgb="FF70AD47"/>
        </bottom>
      </border>
    </dxf>
    <dxf>
      <border diagonalUp="0" diagonalDown="0" outline="0">
        <left style="thin">
          <color rgb="FFBFBFBF"/>
        </left>
        <right style="thin">
          <color rgb="FFBFBFBF"/>
        </right>
        <top style="medium">
          <color rgb="FF70AD47"/>
        </top>
        <bottom style="thin">
          <color rgb="FF70AD47"/>
        </bottom>
      </border>
    </dxf>
    <dxf>
      <border diagonalUp="0" diagonalDown="0" outline="0">
        <left style="thin">
          <color rgb="FFBFBFBF"/>
        </left>
        <right style="thin">
          <color rgb="FFBFBFBF"/>
        </right>
        <top style="medium">
          <color rgb="FF70AD47"/>
        </top>
        <bottom style="thin">
          <color rgb="FF70AD47"/>
        </bottom>
      </border>
    </dxf>
    <dxf>
      <border diagonalUp="0" diagonalDown="0" outline="0">
        <left style="thin">
          <color rgb="FFBFBFBF"/>
        </left>
        <right style="thin">
          <color rgb="FFBFBFBF"/>
        </right>
        <top style="medium">
          <color rgb="FF70AD47"/>
        </top>
        <bottom style="thin">
          <color rgb="FF70AD47"/>
        </bottom>
      </border>
    </dxf>
    <dxf>
      <border diagonalUp="0" diagonalDown="0" outline="0">
        <left style="thin">
          <color rgb="FFBFBFBF"/>
        </left>
        <right style="thin">
          <color rgb="FFBFBFBF"/>
        </right>
        <top style="medium">
          <color rgb="FF70AD47"/>
        </top>
        <bottom style="thin">
          <color rgb="FF70AD47"/>
        </bottom>
      </border>
    </dxf>
    <dxf>
      <border diagonalUp="0" diagonalDown="0" outline="0">
        <left style="thin">
          <color rgb="FFBFBFBF"/>
        </left>
        <right style="thin">
          <color rgb="FFBFBFBF"/>
        </right>
        <top style="medium">
          <color rgb="FF70AD47"/>
        </top>
        <bottom style="thin">
          <color rgb="FFBFBFBF"/>
        </bottom>
      </border>
    </dxf>
    <dxf>
      <border diagonalUp="0" diagonalDown="0" outline="0">
        <left style="thin">
          <color rgb="FFBFBFBF"/>
        </left>
        <right style="thin">
          <color rgb="FFBFBFBF"/>
        </right>
        <top style="medium">
          <color rgb="FF70AD47"/>
        </top>
        <bottom style="thin">
          <color rgb="FFBFBFBF"/>
        </bottom>
      </border>
    </dxf>
    <dxf>
      <border diagonalUp="0" diagonalDown="0" outline="0">
        <left style="thin">
          <color rgb="FFBFBFBF"/>
        </left>
        <right style="thin">
          <color rgb="FFBFBFBF"/>
        </right>
        <top style="thin">
          <color rgb="FF70AD47"/>
        </top>
        <bottom style="thin">
          <color rgb="FFBFBFBF"/>
        </bottom>
      </border>
    </dxf>
    <dxf>
      <border diagonalUp="0" diagonalDown="0" outline="0">
        <left style="thin">
          <color rgb="FFBFBFBF"/>
        </left>
        <right style="thin">
          <color rgb="FFBFBFBF"/>
        </right>
        <top style="thin">
          <color rgb="FF70AD47"/>
        </top>
        <bottom style="thin">
          <color rgb="FFBFBFBF"/>
        </bottom>
      </border>
    </dxf>
    <dxf>
      <border diagonalUp="0" diagonalDown="0" outline="0">
        <left style="thin">
          <color rgb="FFBFBFBF"/>
        </left>
        <right style="thin">
          <color rgb="FFBFBFBF"/>
        </right>
        <top style="thin">
          <color rgb="FF70AD47"/>
        </top>
        <bottom style="thin">
          <color rgb="FFBFBFBF"/>
        </bottom>
      </border>
    </dxf>
    <dxf>
      <border diagonalUp="0" diagonalDown="0" outline="0">
        <left style="thin">
          <color rgb="FFBFBFBF"/>
        </left>
        <right style="thin">
          <color rgb="FFBFBFBF"/>
        </right>
        <top style="thin">
          <color rgb="FF70AD47"/>
        </top>
        <bottom style="thin">
          <color rgb="FFBFBFBF"/>
        </bottom>
      </border>
    </dxf>
    <dxf>
      <numFmt numFmtId="0" formatCode="General"/>
    </dxf>
    <dxf>
      <numFmt numFmtId="0" formatCode="General"/>
    </dxf>
    <dxf>
      <alignment horizontal="left"/>
    </dxf>
    <dxf>
      <alignment horizontal="left"/>
    </dxf>
    <dxf>
      <fill>
        <patternFill patternType="solid">
          <fgColor indexed="64"/>
          <bgColor rgb="FFE2F0D9"/>
        </patternFill>
      </fill>
    </dxf>
    <dxf>
      <fill>
        <patternFill patternType="solid">
          <fgColor indexed="64"/>
          <bgColor rgb="FFE2F0D9"/>
        </patternFill>
      </fill>
    </dxf>
    <dxf>
      <font>
        <strike val="0"/>
      </font>
    </dxf>
    <dxf>
      <font>
        <strike val="0"/>
      </font>
    </dxf>
    <dxf>
      <font>
        <u val="none"/>
      </font>
    </dxf>
    <dxf>
      <font>
        <u val="none"/>
      </font>
    </dxf>
    <dxf>
      <font>
        <i val="0"/>
      </font>
    </dxf>
    <dxf>
      <font>
        <i val="0"/>
      </font>
    </dxf>
    <dxf>
      <font>
        <b/>
      </font>
    </dxf>
    <dxf>
      <font>
        <b/>
      </font>
    </dxf>
    <dxf>
      <font>
        <name val="Calibri"/>
      </font>
    </dxf>
    <dxf>
      <font>
        <name val="Calibri"/>
      </font>
    </dxf>
    <dxf>
      <font>
        <sz val="10"/>
      </font>
    </dxf>
    <dxf>
      <font>
        <sz val="10"/>
      </font>
    </dxf>
    <dxf>
      <font>
        <color rgb="FF222222"/>
      </font>
    </dxf>
    <dxf>
      <font>
        <color rgb="FF222222"/>
      </font>
    </dxf>
    <dxf>
      <border diagonalUp="0" diagonalDown="0" outline="0">
        <left style="thin">
          <color rgb="FFD9D9D9"/>
        </left>
        <right style="thin">
          <color rgb="FFD9D9D9"/>
        </right>
        <top style="thin">
          <color rgb="FFBFBFBF"/>
        </top>
        <bottom style="thin">
          <color rgb="FFD9D9D9"/>
        </bottom>
      </border>
    </dxf>
    <dxf>
      <border diagonalUp="0" diagonalDown="0" outline="0">
        <left style="thin">
          <color rgb="FFD9D9D9"/>
        </left>
        <right style="thin">
          <color rgb="FFD9D9D9"/>
        </right>
        <top style="thin">
          <color rgb="FFBFBFBF"/>
        </top>
        <bottom style="thin">
          <color rgb="FFD9D9D9"/>
        </bottom>
      </border>
    </dxf>
    <dxf>
      <border diagonalUp="0" diagonalDown="0" outline="0">
        <left style="thin">
          <color rgb="FFD9D9D9"/>
        </left>
        <right style="thin">
          <color rgb="FFD9D9D9"/>
        </right>
        <top style="thin">
          <color rgb="FFBFBFBF"/>
        </top>
        <bottom style="thin">
          <color rgb="FFD9D9D9"/>
        </bottom>
      </border>
    </dxf>
    <dxf>
      <border diagonalUp="0" diagonalDown="0" outline="0">
        <left style="thin">
          <color rgb="FFD9D9D9"/>
        </left>
        <right style="thin">
          <color rgb="FFD9D9D9"/>
        </right>
        <top style="thin">
          <color rgb="FFBFBFBF"/>
        </top>
        <bottom style="thin">
          <color rgb="FFD9D9D9"/>
        </bottom>
      </border>
    </dxf>
    <dxf>
      <border diagonalUp="0" diagonalDown="0" outline="0">
        <left style="thin">
          <color rgb="FFD9D9D9"/>
        </left>
        <right style="thin">
          <color rgb="FFD9D9D9"/>
        </right>
        <top style="thin">
          <color rgb="FFBFBFBF"/>
        </top>
        <bottom style="thin">
          <color rgb="FFD9D9D9"/>
        </bottom>
      </border>
    </dxf>
    <dxf>
      <border diagonalUp="0" diagonalDown="0" outline="0">
        <left style="thin">
          <color rgb="FFD9D9D9"/>
        </left>
        <right style="thin">
          <color rgb="FFD9D9D9"/>
        </right>
        <top style="thin">
          <color rgb="FFBFBFBF"/>
        </top>
        <bottom style="thin">
          <color rgb="FFD9D9D9"/>
        </bottom>
      </border>
    </dxf>
    <dxf>
      <border diagonalUp="0" diagonalDown="0" outline="0">
        <left style="thin">
          <color rgb="FFD9D9D9"/>
        </left>
        <right style="thin">
          <color rgb="FFBFBFBF"/>
        </right>
        <top style="thin">
          <color rgb="FFBFBFBF"/>
        </top>
        <bottom style="thin">
          <color rgb="FFD9D9D9"/>
        </bottom>
      </border>
    </dxf>
    <dxf>
      <border diagonalUp="0" diagonalDown="0" outline="0">
        <left style="thin">
          <color rgb="FFD9D9D9"/>
        </left>
        <right style="thin">
          <color rgb="FFBFBFBF"/>
        </right>
        <top style="thin">
          <color rgb="FFBFBFBF"/>
        </top>
        <bottom style="thin">
          <color rgb="FFD9D9D9"/>
        </bottom>
      </border>
    </dxf>
    <dxf>
      <border diagonalUp="0" diagonalDown="0" outline="0">
        <left style="thin">
          <color rgb="FFD9D9D9"/>
        </left>
        <right style="thin">
          <color rgb="FFBFBFBF"/>
        </right>
        <top style="thin">
          <color rgb="FFBFBFBF"/>
        </top>
        <bottom style="thin">
          <color rgb="FFD9D9D9"/>
        </bottom>
      </border>
    </dxf>
    <dxf>
      <border diagonalUp="0" diagonalDown="0" outline="0">
        <left style="thin">
          <color rgb="FFD9D9D9"/>
        </left>
        <right style="thin">
          <color rgb="FFBFBFBF"/>
        </right>
        <top style="thin">
          <color rgb="FFBFBFBF"/>
        </top>
        <bottom style="thin">
          <color rgb="FFD9D9D9"/>
        </bottom>
      </border>
    </dxf>
    <dxf>
      <border diagonalUp="0" diagonalDown="0" outline="0">
        <left style="thin">
          <color rgb="FFD9D9D9"/>
        </left>
        <right style="thin">
          <color rgb="FFBFBFBF"/>
        </right>
        <top style="thin">
          <color rgb="FFBFBFBF"/>
        </top>
        <bottom style="thin">
          <color rgb="FFD9D9D9"/>
        </bottom>
      </border>
    </dxf>
    <dxf>
      <border diagonalUp="0" diagonalDown="0" outline="0">
        <left style="thin">
          <color rgb="FFD9D9D9"/>
        </left>
        <right style="thin">
          <color rgb="FFBFBFBF"/>
        </right>
        <top style="thin">
          <color rgb="FFBFBFBF"/>
        </top>
        <bottom style="thin">
          <color rgb="FFD9D9D9"/>
        </bottom>
      </border>
    </dxf>
    <dxf>
      <border diagonalUp="0" diagonalDown="0" outline="0">
        <left style="thin">
          <color rgb="FFBFBFBF"/>
        </left>
        <right style="thin">
          <color rgb="FFBFBFBF"/>
        </right>
        <top style="thin">
          <color rgb="FFBFBFBF"/>
        </top>
        <bottom style="thin">
          <color rgb="FFD9D9D9"/>
        </bottom>
      </border>
    </dxf>
    <dxf>
      <border diagonalUp="0" diagonalDown="0" outline="0">
        <left style="thin">
          <color rgb="FFBFBFBF"/>
        </left>
        <right style="thin">
          <color rgb="FFBFBFBF"/>
        </right>
        <top style="thin">
          <color rgb="FFBFBFBF"/>
        </top>
        <bottom style="thin">
          <color rgb="FFD9D9D9"/>
        </bottom>
      </border>
    </dxf>
    <dxf>
      <border diagonalUp="0" diagonalDown="0" outline="0">
        <left style="thin">
          <color rgb="FFBFBFBF"/>
        </left>
        <right style="thin">
          <color rgb="FFBFBFBF"/>
        </right>
        <top style="thin">
          <color rgb="FFBFBFBF"/>
        </top>
        <bottom style="thin">
          <color rgb="FFD9D9D9"/>
        </bottom>
      </border>
    </dxf>
    <dxf>
      <border diagonalUp="0" diagonalDown="0" outline="0">
        <left style="thin">
          <color rgb="FFBFBFBF"/>
        </left>
        <right style="thin">
          <color rgb="FFBFBFBF"/>
        </right>
        <top style="thin">
          <color rgb="FFBFBFBF"/>
        </top>
        <bottom style="thin">
          <color rgb="FFD9D9D9"/>
        </bottom>
      </border>
    </dxf>
    <dxf>
      <border diagonalUp="0" diagonalDown="0" outline="0">
        <left style="thin">
          <color rgb="FFBFBFBF"/>
        </left>
        <right style="thin">
          <color rgb="FFBFBFBF"/>
        </right>
        <top style="thin">
          <color rgb="FFBFBFBF"/>
        </top>
        <bottom style="thin">
          <color rgb="FFD9D9D9"/>
        </bottom>
      </border>
    </dxf>
    <dxf>
      <border diagonalUp="0" diagonalDown="0" outline="0">
        <left style="thin">
          <color rgb="FFBFBFBF"/>
        </left>
        <right style="thin">
          <color rgb="FFBFBFBF"/>
        </right>
        <top style="thin">
          <color rgb="FFBFBFBF"/>
        </top>
        <bottom style="thin">
          <color rgb="FFD9D9D9"/>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D9D9D9"/>
        </top>
        <bottom style="thin">
          <color rgb="FFBFBFBF"/>
        </bottom>
      </border>
    </dxf>
    <dxf>
      <border diagonalUp="0" diagonalDown="0" outline="0">
        <left style="thin">
          <color rgb="FFBFBFBF"/>
        </left>
        <right style="thin">
          <color rgb="FFBFBFBF"/>
        </right>
        <top style="thin">
          <color rgb="FFD9D9D9"/>
        </top>
        <bottom style="thin">
          <color rgb="FFBFBFBF"/>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alignment horizontal="left"/>
    </dxf>
    <dxf>
      <alignment horizontal="left"/>
    </dxf>
    <dxf>
      <fill>
        <patternFill patternType="solid">
          <fgColor indexed="64"/>
          <bgColor rgb="FFFFFFFF"/>
        </patternFill>
      </fill>
    </dxf>
    <dxf>
      <fill>
        <patternFill patternType="solid">
          <fgColor indexed="64"/>
          <bgColor rgb="FFFFFFFF"/>
        </patternFill>
      </fill>
    </dxf>
    <dxf>
      <font>
        <strike val="0"/>
      </font>
    </dxf>
    <dxf>
      <font>
        <strike val="0"/>
      </font>
    </dxf>
    <dxf>
      <font>
        <u val="none"/>
      </font>
    </dxf>
    <dxf>
      <font>
        <u val="none"/>
      </font>
    </dxf>
    <dxf>
      <font>
        <i val="0"/>
      </font>
    </dxf>
    <dxf>
      <font>
        <i val="0"/>
      </font>
    </dxf>
    <dxf>
      <font>
        <b val="0"/>
      </font>
    </dxf>
    <dxf>
      <font>
        <b val="0"/>
      </font>
    </dxf>
    <dxf>
      <font>
        <name val="Calibri"/>
      </font>
    </dxf>
    <dxf>
      <font>
        <name val="Calibri"/>
      </font>
    </dxf>
    <dxf>
      <font>
        <sz val="10"/>
      </font>
    </dxf>
    <dxf>
      <font>
        <sz val="10"/>
      </font>
    </dxf>
    <dxf>
      <font>
        <color rgb="FF222222"/>
      </font>
    </dxf>
    <dxf>
      <font>
        <color rgb="FF222222"/>
      </font>
    </dxf>
    <dxf>
      <border diagonalUp="0" diagonalDown="0" outline="0">
        <left style="thin">
          <color rgb="FFBFBFBF"/>
        </left>
        <right style="thin">
          <color rgb="FFBFBFBF"/>
        </right>
        <top style="thin">
          <color rgb="FF4472C4"/>
        </top>
        <bottom style="thin">
          <color rgb="FFBFBFBF"/>
        </bottom>
      </border>
    </dxf>
    <dxf>
      <border diagonalUp="0" diagonalDown="0" outline="0">
        <left style="thin">
          <color rgb="FFBFBFBF"/>
        </left>
        <right style="thin">
          <color rgb="FFBFBFBF"/>
        </right>
        <top style="thin">
          <color rgb="FF4472C4"/>
        </top>
        <bottom style="thin">
          <color rgb="FFBFBFBF"/>
        </bottom>
      </border>
    </dxf>
    <dxf>
      <border diagonalUp="0" diagonalDown="0" outline="0">
        <left style="thin">
          <color rgb="FFBFBFBF"/>
        </left>
        <right style="thin">
          <color rgb="FFBFBFBF"/>
        </right>
        <top style="thin">
          <color rgb="FF4472C4"/>
        </top>
        <bottom style="thin">
          <color rgb="FFBFBFBF"/>
        </bottom>
      </border>
    </dxf>
    <dxf>
      <border diagonalUp="0" diagonalDown="0" outline="0">
        <left style="thin">
          <color rgb="FFBFBFBF"/>
        </left>
        <right style="thin">
          <color rgb="FFBFBFBF"/>
        </right>
        <top style="thin">
          <color rgb="FF4472C4"/>
        </top>
        <bottom style="thin">
          <color rgb="FFBFBFBF"/>
        </bottom>
      </border>
    </dxf>
    <dxf>
      <border diagonalUp="0" diagonalDown="0" outline="0">
        <left style="thin">
          <color rgb="FFBFBFBF"/>
        </left>
        <right style="thin">
          <color rgb="FFBFBFBF"/>
        </right>
        <top style="thin">
          <color rgb="FF4472C4"/>
        </top>
        <bottom style="thin">
          <color rgb="FFBFBFBF"/>
        </bottom>
      </border>
    </dxf>
    <dxf>
      <border diagonalUp="0" diagonalDown="0" outline="0">
        <left style="thin">
          <color rgb="FFBFBFBF"/>
        </left>
        <right style="thin">
          <color rgb="FFBFBFBF"/>
        </right>
        <top style="thin">
          <color rgb="FF4472C4"/>
        </top>
        <bottom style="thin">
          <color rgb="FFBFBFBF"/>
        </bottom>
      </border>
    </dxf>
    <dxf>
      <border diagonalUp="0" diagonalDown="0" outline="0">
        <left style="thin">
          <color rgb="FFBFBFBF"/>
        </left>
        <right style="thin">
          <color rgb="FFBFBFBF"/>
        </right>
        <top style="thin">
          <color rgb="FF4472C4"/>
        </top>
        <bottom style="thin">
          <color rgb="FFBFBFBF"/>
        </bottom>
      </border>
    </dxf>
    <dxf>
      <border diagonalUp="0" diagonalDown="0" outline="0">
        <left style="thin">
          <color rgb="FFBFBFBF"/>
        </left>
        <right style="thin">
          <color rgb="FFBFBFBF"/>
        </right>
        <top style="thin">
          <color rgb="FF4472C4"/>
        </top>
        <bottom style="thin">
          <color rgb="FFBFBFBF"/>
        </bottom>
      </border>
    </dxf>
    <dxf>
      <border diagonalUp="0" diagonalDown="0" outline="0">
        <left style="thin">
          <color rgb="FFBFBFBF"/>
        </left>
        <right style="thin">
          <color rgb="FFBFBFBF"/>
        </right>
        <top style="thin">
          <color rgb="FF4472C4"/>
        </top>
        <bottom style="thin">
          <color rgb="FFBFBFBF"/>
        </bottom>
      </border>
    </dxf>
    <dxf>
      <border diagonalUp="0" diagonalDown="0" outline="0">
        <left style="thin">
          <color rgb="FFBFBFBF"/>
        </left>
        <right style="thin">
          <color rgb="FFBFBFBF"/>
        </right>
        <top style="thin">
          <color rgb="FF4472C4"/>
        </top>
        <bottom style="thin">
          <color rgb="FFBFBFBF"/>
        </bottom>
      </border>
    </dxf>
    <dxf>
      <border diagonalUp="0" diagonalDown="0" outline="0">
        <left style="thin">
          <color rgb="FFBFBFBF"/>
        </left>
        <right style="thin">
          <color rgb="FFBFBFBF"/>
        </right>
        <top style="thin">
          <color rgb="FF4472C4"/>
        </top>
        <bottom style="thin">
          <color rgb="FFBFBFBF"/>
        </bottom>
      </border>
    </dxf>
    <dxf>
      <border diagonalUp="0" diagonalDown="0" outline="0">
        <left style="thin">
          <color rgb="FFBFBFBF"/>
        </left>
        <right style="thin">
          <color rgb="FFBFBFBF"/>
        </right>
        <top style="thin">
          <color rgb="FF4472C4"/>
        </top>
        <bottom style="thin">
          <color rgb="FFBFBFBF"/>
        </bottom>
      </border>
    </dxf>
    <dxf>
      <border diagonalUp="0" diagonalDown="0" outline="0">
        <left style="thin">
          <color rgb="FFBFBFBF"/>
        </left>
        <right style="thin">
          <color rgb="FFBFBFBF"/>
        </right>
        <top style="thin">
          <color rgb="FF4472C4"/>
        </top>
        <bottom style="thin">
          <color rgb="FFBFBFBF"/>
        </bottom>
      </border>
    </dxf>
    <dxf>
      <border diagonalUp="0" diagonalDown="0" outline="0">
        <left style="thin">
          <color rgb="FFBFBFBF"/>
        </left>
        <right style="thin">
          <color rgb="FFBFBFBF"/>
        </right>
        <top style="thin">
          <color rgb="FF4472C4"/>
        </top>
        <bottom style="thin">
          <color rgb="FFBFBFBF"/>
        </bottom>
      </border>
    </dxf>
    <dxf>
      <border diagonalUp="0" diagonalDown="0" outline="0">
        <left style="thin">
          <color rgb="FFBFBFBF"/>
        </left>
        <right style="thin">
          <color rgb="FFBFBFBF"/>
        </right>
        <top style="thin">
          <color rgb="FF4472C4"/>
        </top>
        <bottom style="thin">
          <color rgb="FFBFBFBF"/>
        </bottom>
      </border>
    </dxf>
    <dxf>
      <border diagonalUp="0" diagonalDown="0" outline="0">
        <left style="thin">
          <color rgb="FFBFBFBF"/>
        </left>
        <right style="thin">
          <color rgb="FFBFBFBF"/>
        </right>
        <top style="thin">
          <color rgb="FF4472C4"/>
        </top>
        <bottom style="thin">
          <color rgb="FFBFBFBF"/>
        </bottom>
      </border>
    </dxf>
    <dxf>
      <border diagonalUp="0" diagonalDown="0" outline="0">
        <left style="thin">
          <color rgb="FFBFBFBF"/>
        </left>
        <right style="thin">
          <color rgb="FFBFBFBF"/>
        </right>
        <top style="thin">
          <color rgb="FF4472C4"/>
        </top>
        <bottom style="thin">
          <color rgb="FFBFBFBF"/>
        </bottom>
      </border>
    </dxf>
    <dxf>
      <border diagonalUp="0" diagonalDown="0" outline="0">
        <left style="thin">
          <color rgb="FFBFBFBF"/>
        </left>
        <right style="thin">
          <color rgb="FFBFBFBF"/>
        </right>
        <top style="thin">
          <color rgb="FF4472C4"/>
        </top>
        <bottom style="thin">
          <color rgb="FFBFBFBF"/>
        </bottom>
      </border>
    </dxf>
    <dxf>
      <border diagonalUp="0" diagonalDown="0" outline="0">
        <left style="thin">
          <color rgb="FFBFBFBF"/>
        </left>
        <right style="thin">
          <color rgb="FFBFBFBF"/>
        </right>
        <top style="thin">
          <color rgb="FF4472C4"/>
        </top>
        <bottom style="thin">
          <color rgb="FFBFBFBF"/>
        </bottom>
      </border>
    </dxf>
    <dxf>
      <border diagonalUp="0" diagonalDown="0" outline="0">
        <left style="thin">
          <color rgb="FFBFBFBF"/>
        </left>
        <right style="thin">
          <color rgb="FFBFBFBF"/>
        </right>
        <top style="thin">
          <color rgb="FF4472C4"/>
        </top>
        <bottom style="thin">
          <color rgb="FFBFBFBF"/>
        </bottom>
      </border>
    </dxf>
    <dxf>
      <border diagonalUp="0" diagonalDown="0" outline="0">
        <left style="thin">
          <color rgb="FFBFBFBF"/>
        </left>
        <right style="thin">
          <color rgb="FFBFBFBF"/>
        </right>
        <top style="thin">
          <color rgb="FF4472C4"/>
        </top>
        <bottom style="thin">
          <color rgb="FFBFBFBF"/>
        </bottom>
      </border>
    </dxf>
    <dxf>
      <border diagonalUp="0" diagonalDown="0" outline="0">
        <left style="thin">
          <color rgb="FFBFBFBF"/>
        </left>
        <right style="thin">
          <color rgb="FFBFBFBF"/>
        </right>
        <top style="thin">
          <color rgb="FF4472C4"/>
        </top>
        <bottom style="thin">
          <color rgb="FFBFBFBF"/>
        </bottom>
      </border>
    </dxf>
    <dxf>
      <border diagonalUp="0" diagonalDown="0" outline="0">
        <left style="thin">
          <color rgb="FFBFBFBF"/>
        </left>
        <right style="thin">
          <color rgb="FFBFBFBF"/>
        </right>
        <top style="thin">
          <color rgb="FF4472C4"/>
        </top>
        <bottom style="thin">
          <color rgb="FFBFBFBF"/>
        </bottom>
      </border>
    </dxf>
    <dxf>
      <border diagonalUp="0" diagonalDown="0" outline="0">
        <left style="thin">
          <color rgb="FFBFBFBF"/>
        </left>
        <right style="thin">
          <color rgb="FFBFBFBF"/>
        </right>
        <top style="thin">
          <color rgb="FF4472C4"/>
        </top>
        <bottom style="thin">
          <color rgb="FFBFBFBF"/>
        </bottom>
      </border>
    </dxf>
    <dxf>
      <border diagonalUp="0" diagonalDown="0" outline="0">
        <left style="thin">
          <color rgb="FFBFBFBF"/>
        </left>
        <right style="thin">
          <color rgb="FFBFBFBF"/>
        </right>
        <top style="thin">
          <color rgb="FF4472C4"/>
        </top>
        <bottom style="thin">
          <color rgb="FFBFBFBF"/>
        </bottom>
      </border>
    </dxf>
    <dxf>
      <border diagonalUp="0" diagonalDown="0" outline="0">
        <left style="thin">
          <color rgb="FFBFBFBF"/>
        </left>
        <right style="thin">
          <color rgb="FFBFBFBF"/>
        </right>
        <top style="thin">
          <color rgb="FF4472C4"/>
        </top>
        <bottom style="thin">
          <color rgb="FFBFBFBF"/>
        </bottom>
      </border>
    </dxf>
    <dxf>
      <border diagonalUp="0" diagonalDown="0" outline="0">
        <left style="thin">
          <color rgb="FFBFBFBF"/>
        </left>
        <right style="thin">
          <color rgb="FFBFBFBF"/>
        </right>
        <top style="thin">
          <color rgb="FF4472C4"/>
        </top>
        <bottom style="thin">
          <color rgb="FFBFBFBF"/>
        </bottom>
      </border>
    </dxf>
    <dxf>
      <border diagonalUp="0" diagonalDown="0" outline="0">
        <left style="thin">
          <color rgb="FFBFBFBF"/>
        </left>
        <right style="thin">
          <color rgb="FFBFBFBF"/>
        </right>
        <top style="thin">
          <color rgb="FF4472C4"/>
        </top>
        <bottom style="thin">
          <color rgb="FFBFBFBF"/>
        </bottom>
      </border>
    </dxf>
    <dxf>
      <border diagonalUp="0" diagonalDown="0" outline="0">
        <left style="thin">
          <color rgb="FFBFBFBF"/>
        </left>
        <right style="thin">
          <color rgb="FFBFBFBF"/>
        </right>
        <top style="thin">
          <color rgb="FF4472C4"/>
        </top>
        <bottom style="thin">
          <color rgb="FFBFBFBF"/>
        </bottom>
      </border>
    </dxf>
    <dxf>
      <border diagonalUp="0" diagonalDown="0" outline="0">
        <left style="thin">
          <color rgb="FFBFBFBF"/>
        </left>
        <right style="thin">
          <color rgb="FFBFBFBF"/>
        </right>
        <top style="thin">
          <color rgb="FF4472C4"/>
        </top>
        <bottom style="thin">
          <color rgb="FFBFBFBF"/>
        </bottom>
      </border>
    </dxf>
    <dxf>
      <border diagonalUp="0" diagonalDown="0" outline="0">
        <left style="thin">
          <color rgb="FFBFBFBF"/>
        </left>
        <right style="thin">
          <color rgb="FFBFBFBF"/>
        </right>
        <top style="thin">
          <color rgb="FF4472C4"/>
        </top>
        <bottom style="thin">
          <color rgb="FFBFBFBF"/>
        </bottom>
      </border>
    </dxf>
    <dxf>
      <border diagonalUp="0" diagonalDown="0" outline="0">
        <left style="thin">
          <color rgb="FFBFBFBF"/>
        </left>
        <right style="thin">
          <color rgb="FFBFBFBF"/>
        </right>
        <top style="thin">
          <color rgb="FF4472C4"/>
        </top>
        <bottom style="thin">
          <color rgb="FFBFBFBF"/>
        </bottom>
      </border>
    </dxf>
    <dxf>
      <border diagonalUp="0" diagonalDown="0" outline="0">
        <left style="thin">
          <color rgb="FFBFBFBF"/>
        </left>
        <right style="thin">
          <color rgb="FFBFBFBF"/>
        </right>
        <top style="thin">
          <color rgb="FF4472C4"/>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numFmt numFmtId="0" formatCode="General"/>
    </dxf>
    <dxf>
      <numFmt numFmtId="0" formatCode="General"/>
    </dxf>
    <dxf>
      <numFmt numFmtId="0" formatCode="General"/>
    </dxf>
    <dxf>
      <alignment horizontal="center"/>
    </dxf>
    <dxf>
      <alignment horizontal="center"/>
    </dxf>
    <dxf>
      <alignment horizontal="center"/>
    </dxf>
    <dxf>
      <fill>
        <patternFill patternType="solid">
          <fgColor indexed="64"/>
          <bgColor rgb="FFD9EAF7"/>
        </patternFill>
      </fill>
    </dxf>
    <dxf>
      <fill>
        <patternFill patternType="solid">
          <fgColor indexed="64"/>
          <bgColor rgb="FFD9EAF7"/>
        </patternFill>
      </fill>
    </dxf>
    <dxf>
      <fill>
        <patternFill patternType="solid">
          <fgColor indexed="64"/>
          <bgColor rgb="FFD9EAF7"/>
        </patternFill>
      </fill>
    </dxf>
    <dxf>
      <font>
        <strike val="0"/>
      </font>
    </dxf>
    <dxf>
      <font>
        <strike val="0"/>
      </font>
    </dxf>
    <dxf>
      <font>
        <strike val="0"/>
      </font>
    </dxf>
    <dxf>
      <font>
        <u val="none"/>
      </font>
    </dxf>
    <dxf>
      <font>
        <u val="none"/>
      </font>
    </dxf>
    <dxf>
      <font>
        <u val="none"/>
      </font>
    </dxf>
    <dxf>
      <font>
        <i val="0"/>
      </font>
    </dxf>
    <dxf>
      <font>
        <i val="0"/>
      </font>
    </dxf>
    <dxf>
      <font>
        <i val="0"/>
      </font>
    </dxf>
    <dxf>
      <font>
        <b/>
      </font>
    </dxf>
    <dxf>
      <font>
        <b/>
      </font>
    </dxf>
    <dxf>
      <font>
        <b/>
      </font>
    </dxf>
    <dxf>
      <font>
        <name val="Calibri"/>
      </font>
    </dxf>
    <dxf>
      <font>
        <name val="Calibri"/>
      </font>
    </dxf>
    <dxf>
      <font>
        <name val="Calibri"/>
      </font>
    </dxf>
    <dxf>
      <font>
        <sz val="10"/>
      </font>
    </dxf>
    <dxf>
      <font>
        <sz val="10"/>
      </font>
    </dxf>
    <dxf>
      <font>
        <sz val="10"/>
      </font>
    </dxf>
    <dxf>
      <font>
        <color rgb="FF1F4E79"/>
      </font>
    </dxf>
    <dxf>
      <font>
        <color rgb="FF1F4E79"/>
      </font>
    </dxf>
    <dxf>
      <font>
        <color rgb="FF1F4E79"/>
      </font>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font>
        <b/>
      </font>
    </dxf>
    <dxf>
      <font>
        <b/>
      </font>
    </dxf>
    <dxf>
      <fill>
        <patternFill patternType="solid">
          <fgColor indexed="64"/>
          <bgColor rgb="FFE2F0D9"/>
        </patternFill>
      </fill>
    </dxf>
    <dxf>
      <fill>
        <patternFill patternType="solid">
          <fgColor indexed="64"/>
          <bgColor rgb="FFE2F0D9"/>
        </patternFill>
      </fill>
    </dxf>
    <dxf>
      <font>
        <color rgb="FF222222"/>
      </font>
    </dxf>
    <dxf>
      <font>
        <color rgb="FF222222"/>
      </font>
    </dxf>
    <dxf>
      <fill>
        <patternFill patternType="solid">
          <fgColor indexed="64"/>
          <bgColor rgb="FFFFFFFF"/>
        </patternFill>
      </fill>
    </dxf>
    <dxf>
      <fill>
        <patternFill patternType="solid">
          <fgColor indexed="64"/>
          <bgColor rgb="FFFFFFFF"/>
        </patternFill>
      </fill>
    </dxf>
    <dxf>
      <alignment horizontal="center"/>
    </dxf>
    <dxf>
      <alignment horizontal="center"/>
    </dxf>
    <dxf>
      <alignment horizontal="center"/>
    </dxf>
    <dxf>
      <font>
        <b/>
      </font>
    </dxf>
    <dxf>
      <font>
        <b/>
      </font>
    </dxf>
    <dxf>
      <font>
        <b/>
      </font>
    </dxf>
    <dxf>
      <font>
        <color rgb="FF1F4E79"/>
      </font>
    </dxf>
    <dxf>
      <font>
        <color rgb="FF1F4E79"/>
      </font>
    </dxf>
    <dxf>
      <font>
        <color rgb="FF1F4E79"/>
      </font>
    </dxf>
    <dxf>
      <fill>
        <patternFill patternType="solid">
          <fgColor indexed="64"/>
          <bgColor rgb="FFD9EAF7"/>
        </patternFill>
      </fill>
    </dxf>
    <dxf>
      <fill>
        <patternFill patternType="solid">
          <fgColor indexed="64"/>
          <bgColor rgb="FFD9EAF7"/>
        </patternFill>
      </fill>
    </dxf>
    <dxf>
      <fill>
        <patternFill patternType="solid">
          <fgColor indexed="64"/>
          <bgColor rgb="FFD9EAF7"/>
        </patternFill>
      </fill>
    </dxf>
    <dxf>
      <font>
        <sz val="10"/>
      </font>
    </dxf>
    <dxf>
      <font>
        <sz val="10"/>
      </font>
    </dxf>
    <dxf>
      <font>
        <sz val="10"/>
      </font>
    </dxf>
    <dxf>
      <font>
        <sz val="10"/>
      </font>
    </dxf>
    <dxf>
      <font>
        <sz val="10"/>
      </font>
    </dxf>
    <dxf>
      <font>
        <sz val="10"/>
      </font>
    </dxf>
    <dxf>
      <font>
        <sz val="10"/>
      </font>
    </dxf>
    <dxf>
      <font>
        <name val="Calibri"/>
      </font>
    </dxf>
    <dxf>
      <font>
        <name val="Calibri"/>
      </font>
    </dxf>
    <dxf>
      <font>
        <name val="Calibri"/>
      </font>
    </dxf>
    <dxf>
      <font>
        <name val="Calibri"/>
      </font>
    </dxf>
    <dxf>
      <font>
        <name val="Calibri"/>
      </font>
    </dxf>
    <dxf>
      <font>
        <name val="Calibri"/>
      </font>
    </dxf>
    <dxf>
      <font>
        <name val="Calibri"/>
      </font>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auto="1"/>
        </right>
        <top style="thin">
          <color rgb="FFBFBFBF"/>
        </top>
        <bottom style="thin">
          <color rgb="FFBFBFBF"/>
        </bottom>
      </border>
    </dxf>
    <dxf>
      <border diagonalUp="0" diagonalDown="0" outline="0">
        <left style="thin">
          <color rgb="FFBFBFBF"/>
        </left>
        <right style="thin">
          <color auto="1"/>
        </right>
        <top style="thin">
          <color rgb="FFBFBFBF"/>
        </top>
        <bottom style="thin">
          <color rgb="FFBFBFBF"/>
        </bottom>
      </border>
    </dxf>
    <dxf>
      <border diagonalUp="0" diagonalDown="0" outline="0">
        <left style="thin">
          <color rgb="FFBFBFBF"/>
        </left>
        <right style="thin">
          <color auto="1"/>
        </right>
        <top style="thin">
          <color rgb="FFBFBFBF"/>
        </top>
        <bottom style="thin">
          <color rgb="FFBFBFBF"/>
        </bottom>
      </border>
    </dxf>
    <dxf>
      <border diagonalUp="0" diagonalDown="0" outline="0">
        <left style="thin">
          <color rgb="FFBFBFBF"/>
        </left>
        <right style="thin">
          <color auto="1"/>
        </right>
        <top style="thin">
          <color rgb="FFBFBFBF"/>
        </top>
        <bottom style="thin">
          <color rgb="FFBFBFBF"/>
        </bottom>
      </border>
    </dxf>
    <dxf>
      <border diagonalUp="0" diagonalDown="0" outline="0">
        <left style="thin">
          <color rgb="FFBFBFBF"/>
        </left>
        <right style="thin">
          <color auto="1"/>
        </right>
        <top style="thin">
          <color rgb="FFBFBFBF"/>
        </top>
        <bottom style="thin">
          <color rgb="FFBFBFBF"/>
        </bottom>
      </border>
    </dxf>
    <dxf>
      <border diagonalUp="0" diagonalDown="0" outline="0">
        <left style="thin">
          <color rgb="FFBFBFBF"/>
        </left>
        <right style="thin">
          <color auto="1"/>
        </right>
        <top style="thin">
          <color rgb="FFBFBFBF"/>
        </top>
        <bottom style="thin">
          <color rgb="FFBFBFBF"/>
        </bottom>
      </border>
    </dxf>
    <dxf>
      <border diagonalUp="0" diagonalDown="0" outline="0">
        <left style="thin">
          <color rgb="FFBFBFBF"/>
        </left>
        <right style="thin">
          <color auto="1"/>
        </right>
        <top style="thin">
          <color rgb="FFBFBFBF"/>
        </top>
        <bottom style="thin">
          <color rgb="FFBFBFBF"/>
        </bottom>
      </border>
    </dxf>
    <dxf>
      <border diagonalUp="0" diagonalDown="0" outline="0">
        <left style="thin">
          <color rgb="FFBFBFBF"/>
        </left>
        <right style="thin">
          <color auto="1"/>
        </right>
        <top style="thin">
          <color rgb="FFBFBFBF"/>
        </top>
        <bottom style="thin">
          <color rgb="FFBFBFBF"/>
        </bottom>
      </border>
    </dxf>
    <dxf>
      <border diagonalUp="0" diagonalDown="0" outline="0">
        <left style="thin">
          <color rgb="FFBFBFBF"/>
        </left>
        <right style="thin">
          <color auto="1"/>
        </right>
        <top style="thin">
          <color rgb="FFBFBFBF"/>
        </top>
        <bottom style="thin">
          <color rgb="FFBFBFBF"/>
        </bottom>
      </border>
    </dxf>
    <dxf>
      <border diagonalUp="0" diagonalDown="0" outline="0">
        <left style="thin">
          <color rgb="FFBFBFBF"/>
        </left>
        <right style="thin">
          <color auto="1"/>
        </right>
        <top style="thin">
          <color rgb="FFBFBFBF"/>
        </top>
        <bottom style="thin">
          <color rgb="FFBFBFBF"/>
        </bottom>
      </border>
    </dxf>
    <dxf>
      <border diagonalUp="0" diagonalDown="0" outline="0">
        <left style="thin">
          <color rgb="FFBFBFBF"/>
        </left>
        <right style="thin">
          <color auto="1"/>
        </right>
        <top style="thin">
          <color rgb="FFBFBFBF"/>
        </top>
        <bottom style="thin">
          <color rgb="FFBFBFBF"/>
        </bottom>
      </border>
    </dxf>
    <dxf>
      <border diagonalUp="0" diagonalDown="0" outline="0">
        <left style="thin">
          <color rgb="FFBFBFBF"/>
        </left>
        <right style="thin">
          <color auto="1"/>
        </right>
        <top style="thin">
          <color rgb="FFBFBFBF"/>
        </top>
        <bottom style="thin">
          <color rgb="FFBFBFBF"/>
        </bottom>
      </border>
    </dxf>
    <dxf>
      <border diagonalUp="0" diagonalDown="0" outline="0">
        <left style="thin">
          <color rgb="FFBFBFBF"/>
        </left>
        <right style="thin">
          <color auto="1"/>
        </right>
        <top style="thin">
          <color rgb="FFBFBFBF"/>
        </top>
        <bottom style="thin">
          <color rgb="FFBFBFBF"/>
        </bottom>
      </border>
    </dxf>
    <dxf>
      <border diagonalUp="0" diagonalDown="0" outline="0">
        <left style="thin">
          <color rgb="FFBFBFBF"/>
        </left>
        <right style="thin">
          <color auto="1"/>
        </right>
        <top style="thin">
          <color rgb="FFBFBFBF"/>
        </top>
        <bottom style="thin">
          <color rgb="FFBFBFBF"/>
        </bottom>
      </border>
    </dxf>
    <dxf>
      <border diagonalUp="0" diagonalDown="0" outline="0">
        <left style="thin">
          <color rgb="FFBFBFBF"/>
        </left>
        <right/>
        <top style="thin">
          <color rgb="FFBFBFBF"/>
        </top>
        <bottom style="thin">
          <color rgb="FFBFBFBF"/>
        </bottom>
      </border>
    </dxf>
    <dxf>
      <border diagonalUp="0" diagonalDown="0" outline="0">
        <left style="thin">
          <color rgb="FFBFBFBF"/>
        </left>
        <right/>
        <top style="thin">
          <color rgb="FFBFBFBF"/>
        </top>
        <bottom style="thin">
          <color rgb="FFBFBFBF"/>
        </bottom>
      </border>
    </dxf>
    <dxf>
      <border diagonalUp="0" diagonalDown="0" outline="0">
        <left style="thin">
          <color rgb="FFBFBFBF"/>
        </left>
        <right/>
        <top style="thin">
          <color rgb="FFBFBFBF"/>
        </top>
        <bottom style="thin">
          <color rgb="FFBFBFBF"/>
        </bottom>
      </border>
    </dxf>
    <dxf>
      <border diagonalUp="0" diagonalDown="0" outline="0">
        <left style="thin">
          <color rgb="FFBFBFBF"/>
        </left>
        <right/>
        <top style="thin">
          <color rgb="FFBFBFBF"/>
        </top>
        <bottom style="thin">
          <color rgb="FFBFBFBF"/>
        </bottom>
      </border>
    </dxf>
    <dxf>
      <border diagonalUp="0" diagonalDown="0" outline="0">
        <left style="thin">
          <color rgb="FFBFBFBF"/>
        </left>
        <right/>
        <top style="thin">
          <color rgb="FFBFBFBF"/>
        </top>
        <bottom style="thin">
          <color rgb="FFBFBFBF"/>
        </bottom>
      </border>
    </dxf>
    <dxf>
      <border diagonalUp="0" diagonalDown="0" outline="0">
        <left style="thin">
          <color rgb="FFBFBFBF"/>
        </left>
        <right/>
        <top style="thin">
          <color rgb="FFBFBFBF"/>
        </top>
        <bottom style="thin">
          <color rgb="FFBFBFBF"/>
        </bottom>
      </border>
    </dxf>
    <dxf>
      <border diagonalUp="0" diagonalDown="0" outline="0">
        <left style="thin">
          <color rgb="FFBFBFBF"/>
        </left>
        <right/>
        <top style="thin">
          <color rgb="FFBFBFBF"/>
        </top>
        <bottom style="thin">
          <color rgb="FFBFBFBF"/>
        </bottom>
      </border>
    </dxf>
    <dxf>
      <border diagonalUp="0" diagonalDown="0" outline="0">
        <left style="thin">
          <color indexed="64"/>
        </left>
        <right/>
        <top style="thin">
          <color rgb="FFBFBFBF"/>
        </top>
        <bottom style="thin">
          <color rgb="FFBFBFBF"/>
        </bottom>
      </border>
    </dxf>
    <dxf>
      <border diagonalUp="0" diagonalDown="0" outline="0">
        <left style="thin">
          <color indexed="64"/>
        </left>
        <right/>
        <top style="thin">
          <color rgb="FFBFBFBF"/>
        </top>
        <bottom style="thin">
          <color rgb="FFBFBFBF"/>
        </bottom>
      </border>
    </dxf>
    <dxf>
      <border diagonalUp="0" diagonalDown="0" outline="0">
        <left style="thin">
          <color indexed="64"/>
        </left>
        <right/>
        <top style="thin">
          <color rgb="FFBFBFBF"/>
        </top>
        <bottom style="thin">
          <color rgb="FFBFBFBF"/>
        </bottom>
      </border>
    </dxf>
    <dxf>
      <border diagonalUp="0" diagonalDown="0" outline="0">
        <left style="thin">
          <color indexed="64"/>
        </left>
        <right/>
        <top style="thin">
          <color rgb="FFBFBFBF"/>
        </top>
        <bottom style="thin">
          <color rgb="FFBFBFBF"/>
        </bottom>
      </border>
    </dxf>
    <dxf>
      <border diagonalUp="0" diagonalDown="0" outline="0">
        <left style="thin">
          <color indexed="64"/>
        </left>
        <right/>
        <top style="thin">
          <color rgb="FFBFBFBF"/>
        </top>
        <bottom style="thin">
          <color rgb="FFBFBFBF"/>
        </bottom>
      </border>
    </dxf>
    <dxf>
      <border diagonalUp="0" diagonalDown="0" outline="0">
        <left style="thin">
          <color indexed="64"/>
        </left>
        <right/>
        <top style="thin">
          <color rgb="FFBFBFBF"/>
        </top>
        <bottom style="thin">
          <color rgb="FFBFBFBF"/>
        </bottom>
      </border>
    </dxf>
    <dxf>
      <border diagonalUp="0" diagonalDown="0" outline="0">
        <left style="thin">
          <color indexed="64"/>
        </left>
        <right/>
        <top style="thin">
          <color rgb="FFBFBFBF"/>
        </top>
        <bottom style="thin">
          <color rgb="FFBFBFBF"/>
        </bottom>
      </border>
    </dxf>
    <dxf>
      <border diagonalUp="0" diagonalDown="0" outline="0">
        <left style="thin">
          <color auto="1"/>
        </left>
        <right/>
        <top style="thin">
          <color rgb="FFBFBFBF"/>
        </top>
        <bottom style="thin">
          <color rgb="FFBFBFBF"/>
        </bottom>
      </border>
    </dxf>
    <dxf>
      <border diagonalUp="0" diagonalDown="0" outline="0">
        <left style="thin">
          <color auto="1"/>
        </left>
        <right/>
        <top style="thin">
          <color rgb="FFBFBFBF"/>
        </top>
        <bottom style="thin">
          <color rgb="FFBFBFBF"/>
        </bottom>
      </border>
    </dxf>
    <dxf>
      <border diagonalUp="0" diagonalDown="0" outline="0">
        <left style="thin">
          <color auto="1"/>
        </left>
        <right/>
        <top style="thin">
          <color rgb="FFBFBFBF"/>
        </top>
        <bottom style="thin">
          <color rgb="FFBFBFBF"/>
        </bottom>
      </border>
    </dxf>
    <dxf>
      <border diagonalUp="0" diagonalDown="0" outline="0">
        <left style="thin">
          <color auto="1"/>
        </left>
        <right/>
        <top style="thin">
          <color rgb="FFBFBFBF"/>
        </top>
        <bottom style="thin">
          <color rgb="FFBFBFBF"/>
        </bottom>
      </border>
    </dxf>
    <dxf>
      <border diagonalUp="0" diagonalDown="0" outline="0">
        <left style="thin">
          <color auto="1"/>
        </left>
        <right/>
        <top style="thin">
          <color rgb="FFBFBFBF"/>
        </top>
        <bottom style="thin">
          <color rgb="FFBFBFBF"/>
        </bottom>
      </border>
    </dxf>
    <dxf>
      <border diagonalUp="0" diagonalDown="0" outline="0">
        <left style="thin">
          <color auto="1"/>
        </left>
        <right/>
        <top style="thin">
          <color rgb="FFBFBFBF"/>
        </top>
        <bottom style="thin">
          <color rgb="FFBFBFBF"/>
        </bottom>
      </border>
    </dxf>
    <dxf>
      <border diagonalUp="0" diagonalDown="0" outline="0">
        <left style="thin">
          <color auto="1"/>
        </left>
        <right/>
        <top style="thin">
          <color rgb="FFBFBFBF"/>
        </top>
        <bottom style="thin">
          <color rgb="FFBFBFBF"/>
        </bottom>
      </border>
    </dxf>
    <dxf>
      <border diagonalUp="0" diagonalDown="0" outline="0">
        <left/>
        <right/>
        <top style="thin">
          <color rgb="FFBFBFBF"/>
        </top>
        <bottom style="thin">
          <color rgb="FFBFBFBF"/>
        </bottom>
      </border>
    </dxf>
    <dxf>
      <border diagonalUp="0" diagonalDown="0" outline="0">
        <left/>
        <right/>
        <top style="thin">
          <color rgb="FFBFBFBF"/>
        </top>
        <bottom style="thin">
          <color rgb="FFBFBFBF"/>
        </bottom>
      </border>
    </dxf>
    <dxf>
      <border diagonalUp="0" diagonalDown="0" outline="0">
        <left/>
        <right/>
        <top style="thin">
          <color rgb="FFBFBFBF"/>
        </top>
        <bottom style="thin">
          <color rgb="FFBFBFBF"/>
        </bottom>
      </border>
    </dxf>
    <dxf>
      <border diagonalUp="0" diagonalDown="0" outline="0">
        <left/>
        <right/>
        <top style="thin">
          <color rgb="FFBFBFBF"/>
        </top>
        <bottom style="thin">
          <color rgb="FFBFBFBF"/>
        </bottom>
      </border>
    </dxf>
    <dxf>
      <border diagonalUp="0" diagonalDown="0" outline="0">
        <left/>
        <right/>
        <top style="thin">
          <color rgb="FFBFBFBF"/>
        </top>
        <bottom style="thin">
          <color rgb="FFBFBFBF"/>
        </bottom>
      </border>
    </dxf>
    <dxf>
      <border diagonalUp="0" diagonalDown="0" outline="0">
        <left/>
        <right/>
        <top style="thin">
          <color rgb="FFBFBFBF"/>
        </top>
        <bottom style="thin">
          <color rgb="FFBFBFBF"/>
        </bottom>
      </border>
    </dxf>
    <dxf>
      <border diagonalUp="0" diagonalDown="0" outline="0">
        <left/>
        <right/>
        <top style="thin">
          <color rgb="FFBFBFBF"/>
        </top>
        <bottom style="thin">
          <color rgb="FFBFBFBF"/>
        </bottom>
      </border>
    </dxf>
    <dxf>
      <border diagonalUp="0" diagonalDown="0" outline="0">
        <left/>
        <right/>
        <top style="thin">
          <color rgb="FFBFBFBF"/>
        </top>
        <bottom style="thin">
          <color indexed="64"/>
        </bottom>
      </border>
    </dxf>
    <dxf>
      <border diagonalUp="0" diagonalDown="0" outline="0">
        <left/>
        <right/>
        <top style="thin">
          <color rgb="FFBFBFBF"/>
        </top>
        <bottom style="thin">
          <color indexed="64"/>
        </bottom>
      </border>
    </dxf>
    <dxf>
      <border diagonalUp="0" diagonalDown="0" outline="0">
        <left/>
        <right/>
        <top style="thin">
          <color rgb="FFBFBFBF"/>
        </top>
        <bottom style="thin">
          <color indexed="64"/>
        </bottom>
      </border>
    </dxf>
    <dxf>
      <border diagonalUp="0" diagonalDown="0" outline="0">
        <left/>
        <right/>
        <top style="thin">
          <color rgb="FFBFBFBF"/>
        </top>
        <bottom style="thin">
          <color indexed="64"/>
        </bottom>
      </border>
    </dxf>
    <dxf>
      <border diagonalUp="0" diagonalDown="0" outline="0">
        <left/>
        <right/>
        <top style="thin">
          <color rgb="FFBFBFBF"/>
        </top>
        <bottom style="thin">
          <color indexed="64"/>
        </bottom>
      </border>
    </dxf>
    <dxf>
      <border diagonalUp="0" diagonalDown="0" outline="0">
        <left/>
        <right/>
        <top style="thin">
          <color rgb="FFBFBFBF"/>
        </top>
        <bottom style="thin">
          <color indexed="64"/>
        </bottom>
      </border>
    </dxf>
    <dxf>
      <border diagonalUp="0" diagonalDown="0" outline="0">
        <left/>
        <right/>
        <top style="thin">
          <color rgb="FFBFBFBF"/>
        </top>
        <bottom style="thin">
          <color indexed="64"/>
        </bottom>
      </border>
    </dxf>
    <dxf>
      <border diagonalUp="0" diagonalDown="0" outline="0">
        <left/>
        <right/>
        <top style="thin">
          <color rgb="FFBFBFBF"/>
        </top>
        <bottom style="thin">
          <color auto="1"/>
        </bottom>
      </border>
    </dxf>
    <dxf>
      <border diagonalUp="0" diagonalDown="0" outline="0">
        <left/>
        <right/>
        <top style="thin">
          <color rgb="FFBFBFBF"/>
        </top>
        <bottom style="thin">
          <color auto="1"/>
        </bottom>
      </border>
    </dxf>
    <dxf>
      <border diagonalUp="0" diagonalDown="0" outline="0">
        <left/>
        <right/>
        <top style="thin">
          <color rgb="FFBFBFBF"/>
        </top>
        <bottom style="thin">
          <color auto="1"/>
        </bottom>
      </border>
    </dxf>
    <dxf>
      <border diagonalUp="0" diagonalDown="0" outline="0">
        <left/>
        <right/>
        <top style="thin">
          <color rgb="FFBFBFBF"/>
        </top>
        <bottom style="thin">
          <color auto="1"/>
        </bottom>
      </border>
    </dxf>
    <dxf>
      <border diagonalUp="0" diagonalDown="0" outline="0">
        <left/>
        <right/>
        <top style="thin">
          <color rgb="FFBFBFBF"/>
        </top>
        <bottom style="thin">
          <color auto="1"/>
        </bottom>
      </border>
    </dxf>
    <dxf>
      <border diagonalUp="0" diagonalDown="0" outline="0">
        <left/>
        <right/>
        <top style="thin">
          <color rgb="FFBFBFBF"/>
        </top>
        <bottom style="thin">
          <color auto="1"/>
        </bottom>
      </border>
    </dxf>
    <dxf>
      <border diagonalUp="0" diagonalDown="0" outline="0">
        <left/>
        <right/>
        <top style="thin">
          <color rgb="FFBFBFBF"/>
        </top>
        <bottom style="thin">
          <color auto="1"/>
        </bottom>
      </border>
    </dxf>
    <dxf>
      <border diagonalUp="0" diagonalDown="0" outline="0">
        <left/>
        <right/>
        <top style="thin">
          <color rgb="FFBFBFBF"/>
        </top>
        <bottom/>
      </border>
    </dxf>
    <dxf>
      <border diagonalUp="0" diagonalDown="0" outline="0">
        <left/>
        <right/>
        <top style="thin">
          <color rgb="FFBFBFBF"/>
        </top>
        <bottom/>
      </border>
    </dxf>
    <dxf>
      <border diagonalUp="0" diagonalDown="0" outline="0">
        <left/>
        <right/>
        <top style="thin">
          <color rgb="FFBFBFBF"/>
        </top>
        <bottom/>
      </border>
    </dxf>
    <dxf>
      <border diagonalUp="0" diagonalDown="0" outline="0">
        <left/>
        <right/>
        <top style="thin">
          <color rgb="FFBFBFBF"/>
        </top>
        <bottom/>
      </border>
    </dxf>
    <dxf>
      <border diagonalUp="0" diagonalDown="0" outline="0">
        <left/>
        <right/>
        <top style="thin">
          <color rgb="FFBFBFBF"/>
        </top>
        <bottom/>
      </border>
    </dxf>
    <dxf>
      <border diagonalUp="0" diagonalDown="0" outline="0">
        <left/>
        <right/>
        <top style="thin">
          <color rgb="FFBFBFBF"/>
        </top>
        <bottom/>
      </border>
    </dxf>
    <dxf>
      <border diagonalUp="0" diagonalDown="0" outline="0">
        <left/>
        <right/>
        <top style="thin">
          <color rgb="FFBFBFBF"/>
        </top>
        <bottom/>
      </border>
    </dxf>
    <dxf>
      <border diagonalUp="0" diagonalDown="0" outline="0">
        <left/>
        <right/>
        <top style="thin">
          <color indexed="64"/>
        </top>
        <bottom/>
      </border>
    </dxf>
    <dxf>
      <border diagonalUp="0" diagonalDown="0" outline="0">
        <left/>
        <right/>
        <top style="thin">
          <color indexed="64"/>
        </top>
        <bottom/>
      </border>
    </dxf>
    <dxf>
      <border diagonalUp="0" diagonalDown="0" outline="0">
        <left/>
        <right/>
        <top style="thin">
          <color indexed="64"/>
        </top>
        <bottom/>
      </border>
    </dxf>
    <dxf>
      <border diagonalUp="0" diagonalDown="0" outline="0">
        <left/>
        <right/>
        <top style="thin">
          <color indexed="64"/>
        </top>
        <bottom/>
      </border>
    </dxf>
    <dxf>
      <border diagonalUp="0" diagonalDown="0" outline="0">
        <left/>
        <right/>
        <top style="thin">
          <color indexed="64"/>
        </top>
        <bottom/>
      </border>
    </dxf>
    <dxf>
      <border diagonalUp="0" diagonalDown="0" outline="0">
        <left/>
        <right/>
        <top style="thin">
          <color indexed="64"/>
        </top>
        <bottom/>
      </border>
    </dxf>
    <dxf>
      <border diagonalUp="0" diagonalDown="0" outline="0">
        <left/>
        <right/>
        <top style="thin">
          <color indexed="64"/>
        </top>
        <bottom/>
      </border>
    </dxf>
    <dxf>
      <border diagonalUp="0" diagonalDown="0" outline="0">
        <left/>
        <right/>
        <top style="thin">
          <color auto="1"/>
        </top>
        <bottom/>
      </border>
    </dxf>
    <dxf>
      <border diagonalUp="0" diagonalDown="0" outline="0">
        <left/>
        <right/>
        <top style="thin">
          <color auto="1"/>
        </top>
        <bottom/>
      </border>
    </dxf>
    <dxf>
      <border diagonalUp="0" diagonalDown="0" outline="0">
        <left/>
        <right/>
        <top style="thin">
          <color auto="1"/>
        </top>
        <bottom/>
      </border>
    </dxf>
    <dxf>
      <border diagonalUp="0" diagonalDown="0" outline="0">
        <left/>
        <right/>
        <top style="thin">
          <color auto="1"/>
        </top>
        <bottom/>
      </border>
    </dxf>
    <dxf>
      <border diagonalUp="0" diagonalDown="0" outline="0">
        <left/>
        <right/>
        <top style="thin">
          <color auto="1"/>
        </top>
        <bottom/>
      </border>
    </dxf>
    <dxf>
      <border diagonalUp="0" diagonalDown="0" outline="0">
        <left/>
        <right/>
        <top style="thin">
          <color auto="1"/>
        </top>
        <bottom/>
      </border>
    </dxf>
    <dxf>
      <border diagonalUp="0" diagonalDown="0" outline="0">
        <left/>
        <right/>
        <top style="thin">
          <color auto="1"/>
        </top>
        <bottom/>
      </border>
    </dxf>
    <dxf>
      <font>
        <b/>
      </font>
    </dxf>
    <dxf>
      <font>
        <b/>
      </font>
    </dxf>
    <dxf>
      <font>
        <color rgb="FF222222"/>
      </font>
    </dxf>
    <dxf>
      <font>
        <color rgb="FF222222"/>
      </font>
    </dxf>
    <dxf>
      <fill>
        <patternFill patternType="solid">
          <fgColor indexed="64"/>
          <bgColor rgb="FFE2F0D9"/>
        </patternFill>
      </fill>
    </dxf>
    <dxf>
      <fill>
        <patternFill patternType="solid">
          <fgColor indexed="64"/>
          <bgColor rgb="FFE2F0D9"/>
        </patternFill>
      </fill>
    </dxf>
    <dxf>
      <font>
        <color rgb="FF222222"/>
      </font>
    </dxf>
    <dxf>
      <font>
        <color rgb="FF222222"/>
      </font>
    </dxf>
    <dxf>
      <fill>
        <patternFill patternType="solid">
          <fgColor indexed="64"/>
          <bgColor rgb="FFFFFFFF"/>
        </patternFill>
      </fill>
    </dxf>
    <dxf>
      <fill>
        <patternFill patternType="solid">
          <fgColor indexed="64"/>
          <bgColor rgb="FFFFFFFF"/>
        </patternFill>
      </fill>
    </dxf>
    <dxf>
      <alignment horizontal="center"/>
    </dxf>
    <dxf>
      <alignment horizontal="center"/>
    </dxf>
    <dxf>
      <alignment horizontal="center"/>
    </dxf>
    <dxf>
      <font>
        <b/>
      </font>
    </dxf>
    <dxf>
      <font>
        <b/>
      </font>
    </dxf>
    <dxf>
      <font>
        <b/>
      </font>
    </dxf>
    <dxf>
      <font>
        <color rgb="FF1F4E79"/>
      </font>
    </dxf>
    <dxf>
      <font>
        <color rgb="FF1F4E79"/>
      </font>
    </dxf>
    <dxf>
      <font>
        <color rgb="FF1F4E79"/>
      </font>
    </dxf>
    <dxf>
      <fill>
        <patternFill patternType="solid">
          <fgColor indexed="64"/>
          <bgColor rgb="FFD9EAF7"/>
        </patternFill>
      </fill>
    </dxf>
    <dxf>
      <fill>
        <patternFill patternType="solid">
          <fgColor indexed="64"/>
          <bgColor rgb="FFD9EAF7"/>
        </patternFill>
      </fill>
    </dxf>
    <dxf>
      <fill>
        <patternFill patternType="solid">
          <fgColor indexed="64"/>
          <bgColor rgb="FFD9EAF7"/>
        </patternFill>
      </fill>
    </dxf>
    <dxf>
      <font>
        <sz val="10"/>
      </font>
    </dxf>
    <dxf>
      <font>
        <sz val="10"/>
      </font>
    </dxf>
    <dxf>
      <font>
        <sz val="10"/>
      </font>
    </dxf>
    <dxf>
      <font>
        <sz val="10"/>
      </font>
    </dxf>
    <dxf>
      <font>
        <sz val="10"/>
      </font>
    </dxf>
    <dxf>
      <font>
        <sz val="10"/>
      </font>
    </dxf>
    <dxf>
      <font>
        <sz val="10"/>
      </font>
    </dxf>
    <dxf>
      <font>
        <name val="Calibri"/>
      </font>
    </dxf>
    <dxf>
      <font>
        <name val="Calibri"/>
      </font>
    </dxf>
    <dxf>
      <font>
        <name val="Calibri"/>
      </font>
    </dxf>
    <dxf>
      <font>
        <name val="Calibri"/>
      </font>
    </dxf>
    <dxf>
      <font>
        <name val="Calibri"/>
      </font>
    </dxf>
    <dxf>
      <font>
        <name val="Calibri"/>
      </font>
    </dxf>
    <dxf>
      <font>
        <name val="Calibri"/>
      </font>
    </dxf>
    <dxf>
      <numFmt numFmtId="0" formatCode="General"/>
    </dxf>
    <dxf>
      <alignment horizontal="left"/>
    </dxf>
    <dxf>
      <fill>
        <patternFill patternType="solid">
          <fgColor indexed="64"/>
          <bgColor rgb="FFE2F0D9"/>
        </patternFill>
      </fill>
    </dxf>
    <dxf>
      <font>
        <b/>
      </font>
    </dxf>
    <dxf>
      <font>
        <color rgb="FF222222"/>
      </font>
    </dxf>
    <dxf>
      <border diagonalUp="0" diagonalDown="0" outline="0">
        <left style="medium">
          <color rgb="FF70AD47"/>
        </left>
        <right style="medium">
          <color rgb="FF70AD47"/>
        </right>
        <top style="medium">
          <color rgb="FF70AD47"/>
        </top>
        <bottom style="medium">
          <color rgb="FF70AD47"/>
        </bottom>
      </border>
    </dxf>
    <dxf>
      <border diagonalUp="0" diagonalDown="0" outline="0">
        <left style="medium">
          <color rgb="FF70AD47"/>
        </left>
        <right style="medium">
          <color rgb="FF70AD47"/>
        </right>
        <top style="medium">
          <color rgb="FF70AD47"/>
        </top>
        <bottom style="medium">
          <color rgb="FF70AD47"/>
        </bottom>
      </border>
    </dxf>
    <dxf>
      <border diagonalUp="0" diagonalDown="0" outline="0">
        <left style="medium">
          <color rgb="FF70AD47"/>
        </left>
        <right style="thin">
          <color rgb="FF70AD47"/>
        </right>
        <top style="medium">
          <color rgb="FF70AD47"/>
        </top>
        <bottom style="medium">
          <color rgb="FF70AD47"/>
        </bottom>
      </border>
    </dxf>
    <dxf>
      <border diagonalUp="0" diagonalDown="0" outline="0">
        <left style="medium">
          <color rgb="FF70AD47"/>
        </left>
        <right style="thin">
          <color rgb="FF70AD47"/>
        </right>
        <top style="medium">
          <color rgb="FF70AD47"/>
        </top>
        <bottom style="medium">
          <color rgb="FF70AD47"/>
        </bottom>
      </border>
    </dxf>
    <dxf>
      <border diagonalUp="0" diagonalDown="0" outline="0">
        <left style="medium">
          <color rgb="FF70AD47"/>
        </left>
        <right style="thin">
          <color rgb="FF70AD47"/>
        </right>
        <top style="medium">
          <color rgb="FF70AD47"/>
        </top>
        <bottom style="medium">
          <color rgb="FF70AD47"/>
        </bottom>
      </border>
    </dxf>
    <dxf>
      <border diagonalUp="0" diagonalDown="0" outline="0">
        <left style="medium">
          <color rgb="FF70AD47"/>
        </left>
        <right style="thin">
          <color rgb="FF70AD47"/>
        </right>
        <top style="medium">
          <color rgb="FF70AD47"/>
        </top>
        <bottom style="medium">
          <color rgb="FF70AD47"/>
        </bottom>
      </border>
    </dxf>
    <dxf>
      <border diagonalUp="0" diagonalDown="0" outline="0">
        <left style="medium">
          <color rgb="FF70AD47"/>
        </left>
        <right style="thin">
          <color rgb="FFD9D9D9"/>
        </right>
        <top style="medium">
          <color rgb="FF70AD47"/>
        </top>
        <bottom style="medium">
          <color rgb="FF70AD47"/>
        </bottom>
      </border>
    </dxf>
    <dxf>
      <border diagonalUp="0" diagonalDown="0" outline="0">
        <left style="medium">
          <color rgb="FF70AD47"/>
        </left>
        <right style="thin">
          <color rgb="FFD9D9D9"/>
        </right>
        <top style="medium">
          <color rgb="FF70AD47"/>
        </top>
        <bottom style="medium">
          <color rgb="FF70AD47"/>
        </bottom>
      </border>
    </dxf>
    <dxf>
      <border diagonalUp="0" diagonalDown="0" outline="0">
        <left style="medium">
          <color rgb="FF70AD47"/>
        </left>
        <right style="thin">
          <color rgb="FFD9D9D9"/>
        </right>
        <top style="medium">
          <color rgb="FF70AD47"/>
        </top>
        <bottom style="medium">
          <color rgb="FF70AD47"/>
        </bottom>
      </border>
    </dxf>
    <dxf>
      <border diagonalUp="0" diagonalDown="0" outline="0">
        <left style="medium">
          <color rgb="FF70AD47"/>
        </left>
        <right style="thin">
          <color rgb="FFD9D9D9"/>
        </right>
        <top style="medium">
          <color rgb="FF70AD47"/>
        </top>
        <bottom style="medium">
          <color rgb="FF70AD47"/>
        </bottom>
      </border>
    </dxf>
    <dxf>
      <border diagonalUp="0" diagonalDown="0" outline="0">
        <left style="medium">
          <color rgb="FF70AD47"/>
        </left>
        <right style="thin">
          <color rgb="FFD9D9D9"/>
        </right>
        <top style="medium">
          <color rgb="FF70AD47"/>
        </top>
        <bottom style="medium">
          <color rgb="FF70AD47"/>
        </bottom>
      </border>
    </dxf>
    <dxf>
      <border diagonalUp="0" diagonalDown="0" outline="0">
        <left style="medium">
          <color rgb="FF70AD47"/>
        </left>
        <right style="thin">
          <color rgb="FFD9D9D9"/>
        </right>
        <top style="medium">
          <color rgb="FF70AD47"/>
        </top>
        <bottom style="medium">
          <color rgb="FF70AD47"/>
        </bottom>
      </border>
    </dxf>
    <dxf>
      <border diagonalUp="0" diagonalDown="0" outline="0">
        <left style="medium">
          <color rgb="FF70AD47"/>
        </left>
        <right style="thin">
          <color rgb="FFD9D9D9"/>
        </right>
        <top style="medium">
          <color rgb="FF70AD47"/>
        </top>
        <bottom style="medium">
          <color rgb="FF70AD47"/>
        </bottom>
      </border>
    </dxf>
    <dxf>
      <border diagonalUp="0" diagonalDown="0" outline="0">
        <left style="medium">
          <color rgb="FF70AD47"/>
        </left>
        <right style="thin">
          <color rgb="FFD9D9D9"/>
        </right>
        <top style="medium">
          <color rgb="FF70AD47"/>
        </top>
        <bottom style="medium">
          <color rgb="FF70AD47"/>
        </bottom>
      </border>
    </dxf>
    <dxf>
      <border diagonalUp="0" diagonalDown="0" outline="0">
        <left style="medium">
          <color rgb="FF70AD47"/>
        </left>
        <right style="thin">
          <color rgb="FFD9D9D9"/>
        </right>
        <top style="medium">
          <color rgb="FF70AD47"/>
        </top>
        <bottom style="thin">
          <color rgb="FF70AD47"/>
        </bottom>
      </border>
    </dxf>
    <dxf>
      <border diagonalUp="0" diagonalDown="0" outline="0">
        <left style="medium">
          <color rgb="FF70AD47"/>
        </left>
        <right style="thin">
          <color rgb="FFD9D9D9"/>
        </right>
        <top style="medium">
          <color rgb="FF70AD47"/>
        </top>
        <bottom style="thin">
          <color rgb="FF70AD47"/>
        </bottom>
      </border>
    </dxf>
    <dxf>
      <border diagonalUp="0" diagonalDown="0" outline="0">
        <left style="medium">
          <color rgb="FF70AD47"/>
        </left>
        <right style="thin">
          <color rgb="FFD9D9D9"/>
        </right>
        <top style="medium">
          <color rgb="FF70AD47"/>
        </top>
        <bottom style="thin">
          <color rgb="FF70AD47"/>
        </bottom>
      </border>
    </dxf>
    <dxf>
      <border diagonalUp="0" diagonalDown="0" outline="0">
        <left style="medium">
          <color rgb="FF70AD47"/>
        </left>
        <right style="thin">
          <color rgb="FFD9D9D9"/>
        </right>
        <top style="medium">
          <color rgb="FF70AD47"/>
        </top>
        <bottom style="thin">
          <color rgb="FF70AD47"/>
        </bottom>
      </border>
    </dxf>
    <dxf>
      <border diagonalUp="0" diagonalDown="0" outline="0">
        <left style="medium">
          <color rgb="FF70AD47"/>
        </left>
        <right style="thin">
          <color rgb="FFD9D9D9"/>
        </right>
        <top style="medium">
          <color rgb="FF70AD47"/>
        </top>
      </border>
    </dxf>
    <dxf>
      <border diagonalUp="0" diagonalDown="0" outline="0">
        <left style="medium">
          <color rgb="FF70AD47"/>
        </left>
        <right style="thin">
          <color rgb="FFD9D9D9"/>
        </right>
        <top style="medium">
          <color rgb="FF70AD47"/>
        </top>
      </border>
    </dxf>
    <dxf>
      <border diagonalUp="0" diagonalDown="0" outline="0">
        <left style="medium">
          <color rgb="FF70AD47"/>
        </left>
        <right style="thin">
          <color rgb="FFD9D9D9"/>
        </right>
        <top style="medium">
          <color rgb="FF70AD47"/>
        </top>
      </border>
    </dxf>
    <dxf>
      <border diagonalUp="0" diagonalDown="0" outline="0">
        <left style="medium">
          <color rgb="FF70AD47"/>
        </left>
        <right style="thin">
          <color rgb="FFD9D9D9"/>
        </right>
        <top style="medium">
          <color rgb="FF70AD47"/>
        </top>
      </border>
    </dxf>
    <dxf>
      <border diagonalUp="0" diagonalDown="0" outline="0">
        <left style="medium">
          <color rgb="FF70AD47"/>
        </left>
        <right style="thin">
          <color rgb="FFD9D9D9"/>
        </right>
        <top style="medium">
          <color rgb="FF70AD47"/>
        </top>
      </border>
    </dxf>
    <dxf>
      <border diagonalUp="0" diagonalDown="0" outline="0">
        <left style="medium">
          <color rgb="FF70AD47"/>
        </left>
        <right style="thin">
          <color rgb="FFD9D9D9"/>
        </right>
        <top style="medium">
          <color rgb="FF70AD47"/>
        </top>
      </border>
    </dxf>
    <dxf>
      <numFmt numFmtId="165" formatCode="0.0%"/>
    </dxf>
    <dxf>
      <numFmt numFmtId="165" formatCode="0.0%"/>
    </dxf>
    <dxf>
      <alignment horizontal="right"/>
    </dxf>
    <dxf>
      <alignment horizontal="right"/>
    </dxf>
    <dxf>
      <fill>
        <patternFill patternType="solid">
          <fgColor indexed="64"/>
          <bgColor rgb="FFE2F0D9"/>
        </patternFill>
      </fill>
    </dxf>
    <dxf>
      <fill>
        <patternFill patternType="solid">
          <fgColor indexed="64"/>
          <bgColor rgb="FFE2F0D9"/>
        </patternFill>
      </fill>
    </dxf>
    <dxf>
      <font>
        <strike val="0"/>
      </font>
    </dxf>
    <dxf>
      <font>
        <strike val="0"/>
      </font>
    </dxf>
    <dxf>
      <font>
        <u val="none"/>
      </font>
    </dxf>
    <dxf>
      <font>
        <u val="none"/>
      </font>
    </dxf>
    <dxf>
      <font>
        <i val="0"/>
      </font>
    </dxf>
    <dxf>
      <font>
        <i val="0"/>
      </font>
    </dxf>
    <dxf>
      <font>
        <b/>
      </font>
    </dxf>
    <dxf>
      <font>
        <b/>
      </font>
    </dxf>
    <dxf>
      <font>
        <name val="Calibri"/>
      </font>
    </dxf>
    <dxf>
      <font>
        <name val="Calibri"/>
      </font>
    </dxf>
    <dxf>
      <font>
        <sz val="10"/>
      </font>
    </dxf>
    <dxf>
      <font>
        <sz val="10"/>
      </font>
    </dxf>
    <dxf>
      <font>
        <color rgb="FF222222"/>
      </font>
    </dxf>
    <dxf>
      <font>
        <color rgb="FF222222"/>
      </font>
    </dxf>
    <dxf>
      <border diagonalUp="0" diagonalDown="0" outline="0">
        <left style="thin">
          <color rgb="FFD9D9D9"/>
        </left>
        <right style="thin">
          <color rgb="FFD9D9D9"/>
        </right>
        <top style="thin">
          <color rgb="FFD9D9D9"/>
        </top>
        <bottom style="thin">
          <color rgb="FFD9D9D9"/>
        </bottom>
      </border>
    </dxf>
    <dxf>
      <border diagonalUp="0" diagonalDown="0" outline="0">
        <left style="thin">
          <color rgb="FFD9D9D9"/>
        </left>
        <right style="medium">
          <color rgb="FFD9D9D9"/>
        </right>
        <top style="thin">
          <color rgb="FFD9D9D9"/>
        </top>
        <bottom style="thin">
          <color rgb="FFD9D9D9"/>
        </bottom>
      </border>
    </dxf>
    <dxf>
      <border diagonalUp="0" diagonalDown="0" outline="0">
        <left style="thin">
          <color rgb="FFD9D9D9"/>
        </left>
        <right style="medium">
          <color rgb="FFD9D9D9"/>
        </right>
        <top style="thin">
          <color rgb="FFD9D9D9"/>
        </top>
        <bottom style="thin">
          <color rgb="FFD9D9D9"/>
        </bottom>
      </border>
    </dxf>
    <dxf>
      <border diagonalUp="0" diagonalDown="0" outline="0">
        <left style="thin">
          <color rgb="FFD9D9D9"/>
        </left>
        <top style="thin">
          <color rgb="FFD9D9D9"/>
        </top>
        <bottom style="thin">
          <color rgb="FFD9D9D9"/>
        </bottom>
      </border>
    </dxf>
    <dxf>
      <border diagonalUp="0" diagonalDown="0" outline="0">
        <left style="thin">
          <color rgb="FFD9D9D9"/>
        </left>
        <top style="thin">
          <color rgb="FFD9D9D9"/>
        </top>
        <bottom style="thin">
          <color rgb="FFD9D9D9"/>
        </bottom>
      </border>
    </dxf>
    <dxf>
      <border diagonalUp="0" diagonalDown="0" outline="0">
        <left style="thin">
          <color rgb="FFD9D9D9"/>
        </left>
        <top style="thin">
          <color rgb="FFD9D9D9"/>
        </top>
        <bottom style="thin">
          <color rgb="FFD9D9D9"/>
        </bottom>
      </border>
    </dxf>
    <dxf>
      <border diagonalUp="0" diagonalDown="0" outline="0">
        <left style="thin">
          <color rgb="FFBFBFBF"/>
        </left>
        <top style="thin">
          <color rgb="FFD9D9D9"/>
        </top>
        <bottom style="thin">
          <color rgb="FFD9D9D9"/>
        </bottom>
      </border>
    </dxf>
    <dxf>
      <border diagonalUp="0" diagonalDown="0" outline="0">
        <left style="thin">
          <color rgb="FFBFBFBF"/>
        </left>
        <top style="thin">
          <color rgb="FFD9D9D9"/>
        </top>
        <bottom style="medium">
          <color rgb="FFD9D9D9"/>
        </bottom>
      </border>
    </dxf>
    <dxf>
      <border diagonalUp="0" diagonalDown="0" outline="0">
        <left style="thin">
          <color rgb="FFBFBFBF"/>
        </left>
        <top style="thin">
          <color rgb="FFD9D9D9"/>
        </top>
        <bottom style="medium">
          <color rgb="FFD9D9D9"/>
        </bottom>
      </border>
    </dxf>
    <dxf>
      <border diagonalUp="0" diagonalDown="0" outline="0">
        <left style="thin">
          <color rgb="FFBFBFBF"/>
        </left>
        <top style="thin">
          <color rgb="FFD9D9D9"/>
        </top>
        <bottom style="medium">
          <color rgb="FF70AD47"/>
        </bottom>
      </border>
    </dxf>
    <dxf>
      <border diagonalUp="0" diagonalDown="0" outline="0">
        <left style="thin">
          <color rgb="FFBFBFBF"/>
        </left>
        <top style="thin">
          <color rgb="FFD9D9D9"/>
        </top>
        <bottom style="medium">
          <color rgb="FF70AD47"/>
        </bottom>
      </border>
    </dxf>
    <dxf>
      <border diagonalUp="0" diagonalDown="0" outline="0">
        <left style="thin">
          <color rgb="FFBFBFBF"/>
        </left>
        <top style="thin">
          <color rgb="FFD9D9D9"/>
        </top>
        <bottom style="medium">
          <color rgb="FF70AD47"/>
        </bottom>
      </border>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alignment horizontal="right"/>
    </dxf>
    <dxf>
      <fill>
        <patternFill patternType="solid">
          <fgColor indexed="64"/>
          <bgColor rgb="FFFFFFFF"/>
        </patternFill>
      </fill>
    </dxf>
    <dxf>
      <font>
        <strike val="0"/>
      </font>
    </dxf>
    <dxf>
      <font>
        <u val="none"/>
      </font>
    </dxf>
    <dxf>
      <font>
        <i val="0"/>
      </font>
    </dxf>
    <dxf>
      <font>
        <b val="0"/>
      </font>
    </dxf>
    <dxf>
      <font>
        <name val="Calibri"/>
      </font>
    </dxf>
    <dxf>
      <font>
        <sz val="10"/>
      </font>
    </dxf>
    <dxf>
      <font>
        <color rgb="FF222222"/>
      </font>
    </dxf>
    <dxf>
      <border diagonalUp="0" diagonalDown="0" outline="0">
        <left style="medium">
          <color rgb="FF70AD47"/>
        </left>
        <right style="medium">
          <color rgb="FF70AD47"/>
        </right>
        <top style="medium">
          <color rgb="FF70AD47"/>
        </top>
        <bottom style="medium">
          <color rgb="FF70AD47"/>
        </bottom>
      </border>
    </dxf>
    <dxf>
      <border diagonalUp="0" diagonalDown="0" outline="0">
        <left style="medium">
          <color rgb="FF70AD47"/>
        </left>
        <right style="medium">
          <color rgb="FF70AD47"/>
        </right>
        <top style="medium">
          <color rgb="FF70AD47"/>
        </top>
        <bottom style="medium">
          <color rgb="FF70AD47"/>
        </bottom>
      </border>
    </dxf>
    <dxf>
      <border diagonalUp="0" diagonalDown="0" outline="0">
        <left style="medium">
          <color rgb="FF70AD47"/>
        </left>
        <right style="thin">
          <color rgb="FF70AD47"/>
        </right>
        <top style="medium">
          <color rgb="FF70AD47"/>
        </top>
        <bottom style="medium">
          <color rgb="FF70AD47"/>
        </bottom>
      </border>
    </dxf>
    <dxf>
      <border diagonalUp="0" diagonalDown="0" outline="0">
        <left style="medium">
          <color rgb="FF70AD47"/>
        </left>
        <right style="thin">
          <color rgb="FF70AD47"/>
        </right>
        <top style="medium">
          <color rgb="FF70AD47"/>
        </top>
        <bottom style="medium">
          <color rgb="FF70AD47"/>
        </bottom>
      </border>
    </dxf>
    <dxf>
      <border diagonalUp="0" diagonalDown="0" outline="0">
        <left style="medium">
          <color rgb="FF70AD47"/>
        </left>
        <right style="thin">
          <color rgb="FF70AD47"/>
        </right>
        <top style="medium">
          <color rgb="FF70AD47"/>
        </top>
        <bottom style="medium">
          <color rgb="FF70AD47"/>
        </bottom>
      </border>
    </dxf>
    <dxf>
      <border diagonalUp="0" diagonalDown="0" outline="0">
        <left style="medium">
          <color rgb="FF70AD47"/>
        </left>
        <right style="thin">
          <color rgb="FF70AD47"/>
        </right>
        <top style="medium">
          <color rgb="FF70AD47"/>
        </top>
        <bottom style="medium">
          <color rgb="FF70AD47"/>
        </bottom>
      </border>
    </dxf>
    <dxf>
      <border diagonalUp="0" diagonalDown="0" outline="0">
        <left style="medium">
          <color rgb="FF70AD47"/>
        </left>
        <right style="thin">
          <color rgb="FFBFBFBF"/>
        </right>
        <top style="medium">
          <color rgb="FF70AD47"/>
        </top>
        <bottom style="medium">
          <color rgb="FF70AD47"/>
        </bottom>
      </border>
    </dxf>
    <dxf>
      <border diagonalUp="0" diagonalDown="0" outline="0">
        <left style="medium">
          <color rgb="FF70AD47"/>
        </left>
        <right style="thin">
          <color rgb="FFBFBFBF"/>
        </right>
        <top style="medium">
          <color rgb="FF70AD47"/>
        </top>
        <bottom style="medium">
          <color rgb="FF70AD47"/>
        </bottom>
      </border>
    </dxf>
    <dxf>
      <border diagonalUp="0" diagonalDown="0" outline="0">
        <left style="thin">
          <color rgb="FF70AD47"/>
        </left>
        <right style="thin">
          <color rgb="FFBFBFBF"/>
        </right>
        <top style="medium">
          <color rgb="FF70AD47"/>
        </top>
        <bottom style="medium">
          <color rgb="FF70AD47"/>
        </bottom>
      </border>
    </dxf>
    <dxf>
      <border diagonalUp="0" diagonalDown="0" outline="0">
        <left style="thin">
          <color rgb="FF70AD47"/>
        </left>
        <right style="thin">
          <color rgb="FFBFBFBF"/>
        </right>
        <top style="medium">
          <color rgb="FF70AD47"/>
        </top>
        <bottom style="medium">
          <color rgb="FF70AD47"/>
        </bottom>
      </border>
    </dxf>
    <dxf>
      <border diagonalUp="0" diagonalDown="0" outline="0">
        <left style="thin">
          <color rgb="FF70AD47"/>
        </left>
        <right style="thin">
          <color rgb="FFBFBFBF"/>
        </right>
        <top style="medium">
          <color rgb="FF70AD47"/>
        </top>
        <bottom style="medium">
          <color rgb="FF70AD47"/>
        </bottom>
      </border>
    </dxf>
    <dxf>
      <border diagonalUp="0" diagonalDown="0" outline="0">
        <left style="thin">
          <color rgb="FF70AD47"/>
        </left>
        <right style="thin">
          <color rgb="FFBFBFBF"/>
        </right>
        <top style="medium">
          <color rgb="FF70AD47"/>
        </top>
        <bottom style="medium">
          <color rgb="FF70AD47"/>
        </bottom>
      </border>
    </dxf>
    <dxf>
      <border diagonalUp="0" diagonalDown="0" outline="0">
        <left style="thin">
          <color rgb="FFBFBFBF"/>
        </left>
        <right style="thin">
          <color rgb="FFBFBFBF"/>
        </right>
        <top style="medium">
          <color rgb="FF70AD47"/>
        </top>
        <bottom style="medium">
          <color rgb="FF70AD47"/>
        </bottom>
      </border>
    </dxf>
    <dxf>
      <border diagonalUp="0" diagonalDown="0" outline="0">
        <left style="thin">
          <color rgb="FFBFBFBF"/>
        </left>
        <right style="thin">
          <color rgb="FFBFBFBF"/>
        </right>
        <top style="medium">
          <color rgb="FF70AD47"/>
        </top>
        <bottom style="medium">
          <color rgb="FF70AD47"/>
        </bottom>
      </border>
    </dxf>
    <dxf>
      <border diagonalUp="0" diagonalDown="0" outline="0">
        <left style="thin">
          <color rgb="FFBFBFBF"/>
        </left>
        <right style="thin">
          <color rgb="FFBFBFBF"/>
        </right>
        <top style="medium">
          <color rgb="FF70AD47"/>
        </top>
        <bottom style="thin">
          <color rgb="FF70AD47"/>
        </bottom>
      </border>
    </dxf>
    <dxf>
      <border diagonalUp="0" diagonalDown="0" outline="0">
        <left style="thin">
          <color rgb="FFBFBFBF"/>
        </left>
        <right style="thin">
          <color rgb="FFBFBFBF"/>
        </right>
        <top style="medium">
          <color rgb="FF70AD47"/>
        </top>
        <bottom style="thin">
          <color rgb="FF70AD47"/>
        </bottom>
      </border>
    </dxf>
    <dxf>
      <border diagonalUp="0" diagonalDown="0" outline="0">
        <left style="thin">
          <color rgb="FFBFBFBF"/>
        </left>
        <right style="thin">
          <color rgb="FFBFBFBF"/>
        </right>
        <top style="medium">
          <color rgb="FF70AD47"/>
        </top>
        <bottom style="thin">
          <color rgb="FF70AD47"/>
        </bottom>
      </border>
    </dxf>
    <dxf>
      <border diagonalUp="0" diagonalDown="0" outline="0">
        <left style="thin">
          <color rgb="FFBFBFBF"/>
        </left>
        <right style="thin">
          <color rgb="FFBFBFBF"/>
        </right>
        <top style="medium">
          <color rgb="FF70AD47"/>
        </top>
        <bottom style="thin">
          <color rgb="FF70AD47"/>
        </bottom>
      </border>
    </dxf>
    <dxf>
      <border diagonalUp="0" diagonalDown="0" outline="0">
        <left style="thin">
          <color rgb="FFBFBFBF"/>
        </left>
        <right style="thin">
          <color rgb="FFBFBFBF"/>
        </right>
        <top style="medium">
          <color rgb="FF70AD47"/>
        </top>
        <bottom style="thin">
          <color rgb="FFBFBFBF"/>
        </bottom>
      </border>
    </dxf>
    <dxf>
      <border diagonalUp="0" diagonalDown="0" outline="0">
        <left style="thin">
          <color rgb="FFBFBFBF"/>
        </left>
        <right style="thin">
          <color rgb="FFBFBFBF"/>
        </right>
        <top style="medium">
          <color rgb="FF70AD47"/>
        </top>
        <bottom style="thin">
          <color rgb="FFBFBFBF"/>
        </bottom>
      </border>
    </dxf>
    <dxf>
      <border diagonalUp="0" diagonalDown="0" outline="0">
        <left style="thin">
          <color rgb="FFBFBFBF"/>
        </left>
        <right style="thin">
          <color rgb="FFBFBFBF"/>
        </right>
        <top style="thin">
          <color rgb="FF70AD47"/>
        </top>
        <bottom style="thin">
          <color rgb="FFBFBFBF"/>
        </bottom>
      </border>
    </dxf>
    <dxf>
      <border diagonalUp="0" diagonalDown="0" outline="0">
        <left style="thin">
          <color rgb="FFBFBFBF"/>
        </left>
        <right style="thin">
          <color rgb="FFBFBFBF"/>
        </right>
        <top style="thin">
          <color rgb="FF70AD47"/>
        </top>
        <bottom style="thin">
          <color rgb="FFBFBFBF"/>
        </bottom>
      </border>
    </dxf>
    <dxf>
      <border diagonalUp="0" diagonalDown="0" outline="0">
        <left style="thin">
          <color rgb="FFBFBFBF"/>
        </left>
        <right style="thin">
          <color rgb="FFBFBFBF"/>
        </right>
        <top style="thin">
          <color rgb="FF70AD47"/>
        </top>
        <bottom style="thin">
          <color rgb="FFBFBFBF"/>
        </bottom>
      </border>
    </dxf>
    <dxf>
      <border diagonalUp="0" diagonalDown="0" outline="0">
        <left style="thin">
          <color rgb="FFBFBFBF"/>
        </left>
        <right style="thin">
          <color rgb="FFBFBFBF"/>
        </right>
        <top style="thin">
          <color rgb="FF70AD47"/>
        </top>
        <bottom style="thin">
          <color rgb="FFBFBFBF"/>
        </bottom>
      </border>
    </dxf>
    <dxf>
      <numFmt numFmtId="0" formatCode="General"/>
    </dxf>
    <dxf>
      <numFmt numFmtId="0" formatCode="General"/>
    </dxf>
    <dxf>
      <alignment horizontal="left"/>
    </dxf>
    <dxf>
      <alignment horizontal="left"/>
    </dxf>
    <dxf>
      <fill>
        <patternFill patternType="solid">
          <fgColor indexed="64"/>
          <bgColor rgb="FFE2F0D9"/>
        </patternFill>
      </fill>
    </dxf>
    <dxf>
      <fill>
        <patternFill patternType="solid">
          <fgColor indexed="64"/>
          <bgColor rgb="FFE2F0D9"/>
        </patternFill>
      </fill>
    </dxf>
    <dxf>
      <font>
        <strike val="0"/>
      </font>
    </dxf>
    <dxf>
      <font>
        <strike val="0"/>
      </font>
    </dxf>
    <dxf>
      <font>
        <u val="none"/>
      </font>
    </dxf>
    <dxf>
      <font>
        <u val="none"/>
      </font>
    </dxf>
    <dxf>
      <font>
        <i val="0"/>
      </font>
    </dxf>
    <dxf>
      <font>
        <i val="0"/>
      </font>
    </dxf>
    <dxf>
      <font>
        <b/>
      </font>
    </dxf>
    <dxf>
      <font>
        <b/>
      </font>
    </dxf>
    <dxf>
      <font>
        <name val="Calibri"/>
      </font>
    </dxf>
    <dxf>
      <font>
        <name val="Calibri"/>
      </font>
    </dxf>
    <dxf>
      <font>
        <sz val="10"/>
      </font>
    </dxf>
    <dxf>
      <font>
        <sz val="10"/>
      </font>
    </dxf>
    <dxf>
      <font>
        <color rgb="FF222222"/>
      </font>
    </dxf>
    <dxf>
      <font>
        <color rgb="FF222222"/>
      </font>
    </dxf>
    <dxf>
      <border diagonalUp="0" diagonalDown="0" outline="0">
        <left style="thin">
          <color rgb="FFD9D9D9"/>
        </left>
        <right style="thin">
          <color rgb="FFD9D9D9"/>
        </right>
        <top style="thin">
          <color rgb="FFBFBFBF"/>
        </top>
        <bottom style="thin">
          <color rgb="FFD9D9D9"/>
        </bottom>
      </border>
    </dxf>
    <dxf>
      <border diagonalUp="0" diagonalDown="0" outline="0">
        <left style="thin">
          <color rgb="FFD9D9D9"/>
        </left>
        <right style="thin">
          <color rgb="FFD9D9D9"/>
        </right>
        <top style="thin">
          <color rgb="FFBFBFBF"/>
        </top>
        <bottom style="thin">
          <color rgb="FFD9D9D9"/>
        </bottom>
      </border>
    </dxf>
    <dxf>
      <border diagonalUp="0" diagonalDown="0" outline="0">
        <left style="thin">
          <color rgb="FFD9D9D9"/>
        </left>
        <right style="thin">
          <color rgb="FFD9D9D9"/>
        </right>
        <top style="thin">
          <color rgb="FFBFBFBF"/>
        </top>
        <bottom style="thin">
          <color rgb="FFD9D9D9"/>
        </bottom>
      </border>
    </dxf>
    <dxf>
      <border diagonalUp="0" diagonalDown="0" outline="0">
        <left style="thin">
          <color rgb="FFD9D9D9"/>
        </left>
        <right style="thin">
          <color rgb="FFD9D9D9"/>
        </right>
        <top style="thin">
          <color rgb="FFBFBFBF"/>
        </top>
        <bottom style="thin">
          <color rgb="FFD9D9D9"/>
        </bottom>
      </border>
    </dxf>
    <dxf>
      <border diagonalUp="0" diagonalDown="0" outline="0">
        <left style="thin">
          <color rgb="FFD9D9D9"/>
        </left>
        <right style="thin">
          <color rgb="FFD9D9D9"/>
        </right>
        <top style="thin">
          <color rgb="FFBFBFBF"/>
        </top>
        <bottom style="thin">
          <color rgb="FFD9D9D9"/>
        </bottom>
      </border>
    </dxf>
    <dxf>
      <border diagonalUp="0" diagonalDown="0" outline="0">
        <left style="thin">
          <color rgb="FFD9D9D9"/>
        </left>
        <right style="thin">
          <color rgb="FFD9D9D9"/>
        </right>
        <top style="thin">
          <color rgb="FFBFBFBF"/>
        </top>
        <bottom style="thin">
          <color rgb="FFD9D9D9"/>
        </bottom>
      </border>
    </dxf>
    <dxf>
      <border diagonalUp="0" diagonalDown="0" outline="0">
        <left style="thin">
          <color rgb="FFD9D9D9"/>
        </left>
        <right style="thin">
          <color rgb="FFBFBFBF"/>
        </right>
        <top style="thin">
          <color rgb="FFBFBFBF"/>
        </top>
        <bottom style="thin">
          <color rgb="FFD9D9D9"/>
        </bottom>
      </border>
    </dxf>
    <dxf>
      <border diagonalUp="0" diagonalDown="0" outline="0">
        <left style="thin">
          <color rgb="FFD9D9D9"/>
        </left>
        <right style="thin">
          <color rgb="FFBFBFBF"/>
        </right>
        <top style="thin">
          <color rgb="FFBFBFBF"/>
        </top>
        <bottom style="thin">
          <color rgb="FFD9D9D9"/>
        </bottom>
      </border>
    </dxf>
    <dxf>
      <border diagonalUp="0" diagonalDown="0" outline="0">
        <left style="thin">
          <color rgb="FFD9D9D9"/>
        </left>
        <right style="thin">
          <color rgb="FFBFBFBF"/>
        </right>
        <top style="thin">
          <color rgb="FFBFBFBF"/>
        </top>
        <bottom style="thin">
          <color rgb="FFD9D9D9"/>
        </bottom>
      </border>
    </dxf>
    <dxf>
      <border diagonalUp="0" diagonalDown="0" outline="0">
        <left style="thin">
          <color rgb="FFD9D9D9"/>
        </left>
        <right style="thin">
          <color rgb="FFBFBFBF"/>
        </right>
        <top style="thin">
          <color rgb="FFBFBFBF"/>
        </top>
        <bottom style="thin">
          <color rgb="FFD9D9D9"/>
        </bottom>
      </border>
    </dxf>
    <dxf>
      <border diagonalUp="0" diagonalDown="0" outline="0">
        <left style="thin">
          <color rgb="FFD9D9D9"/>
        </left>
        <right style="thin">
          <color rgb="FFBFBFBF"/>
        </right>
        <top style="thin">
          <color rgb="FFBFBFBF"/>
        </top>
        <bottom style="thin">
          <color rgb="FFD9D9D9"/>
        </bottom>
      </border>
    </dxf>
    <dxf>
      <border diagonalUp="0" diagonalDown="0" outline="0">
        <left style="thin">
          <color rgb="FFD9D9D9"/>
        </left>
        <right style="thin">
          <color rgb="FFBFBFBF"/>
        </right>
        <top style="thin">
          <color rgb="FFBFBFBF"/>
        </top>
        <bottom style="thin">
          <color rgb="FFD9D9D9"/>
        </bottom>
      </border>
    </dxf>
    <dxf>
      <border diagonalUp="0" diagonalDown="0" outline="0">
        <left style="thin">
          <color rgb="FFBFBFBF"/>
        </left>
        <right style="thin">
          <color rgb="FFBFBFBF"/>
        </right>
        <top style="thin">
          <color rgb="FFBFBFBF"/>
        </top>
        <bottom style="thin">
          <color rgb="FFD9D9D9"/>
        </bottom>
      </border>
    </dxf>
    <dxf>
      <border diagonalUp="0" diagonalDown="0" outline="0">
        <left style="thin">
          <color rgb="FFBFBFBF"/>
        </left>
        <right style="thin">
          <color rgb="FFBFBFBF"/>
        </right>
        <top style="thin">
          <color rgb="FFBFBFBF"/>
        </top>
        <bottom style="thin">
          <color rgb="FFD9D9D9"/>
        </bottom>
      </border>
    </dxf>
    <dxf>
      <border diagonalUp="0" diagonalDown="0" outline="0">
        <left style="thin">
          <color rgb="FFBFBFBF"/>
        </left>
        <right style="thin">
          <color rgb="FFBFBFBF"/>
        </right>
        <top style="thin">
          <color rgb="FFBFBFBF"/>
        </top>
        <bottom style="thin">
          <color rgb="FFD9D9D9"/>
        </bottom>
      </border>
    </dxf>
    <dxf>
      <border diagonalUp="0" diagonalDown="0" outline="0">
        <left style="thin">
          <color rgb="FFBFBFBF"/>
        </left>
        <right style="thin">
          <color rgb="FFBFBFBF"/>
        </right>
        <top style="thin">
          <color rgb="FFBFBFBF"/>
        </top>
        <bottom style="thin">
          <color rgb="FFD9D9D9"/>
        </bottom>
      </border>
    </dxf>
    <dxf>
      <border diagonalUp="0" diagonalDown="0" outline="0">
        <left style="thin">
          <color rgb="FFBFBFBF"/>
        </left>
        <right style="thin">
          <color rgb="FFBFBFBF"/>
        </right>
        <top style="thin">
          <color rgb="FFBFBFBF"/>
        </top>
        <bottom style="thin">
          <color rgb="FFD9D9D9"/>
        </bottom>
      </border>
    </dxf>
    <dxf>
      <border diagonalUp="0" diagonalDown="0" outline="0">
        <left style="thin">
          <color rgb="FFBFBFBF"/>
        </left>
        <right style="thin">
          <color rgb="FFBFBFBF"/>
        </right>
        <top style="thin">
          <color rgb="FFBFBFBF"/>
        </top>
        <bottom style="thin">
          <color rgb="FFD9D9D9"/>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D9D9D9"/>
        </top>
        <bottom style="thin">
          <color rgb="FFBFBFBF"/>
        </bottom>
      </border>
    </dxf>
    <dxf>
      <border diagonalUp="0" diagonalDown="0" outline="0">
        <left style="thin">
          <color rgb="FFBFBFBF"/>
        </left>
        <right style="thin">
          <color rgb="FFBFBFBF"/>
        </right>
        <top style="thin">
          <color rgb="FFD9D9D9"/>
        </top>
        <bottom style="thin">
          <color rgb="FFBFBFBF"/>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alignment horizontal="left"/>
    </dxf>
    <dxf>
      <alignment horizontal="left"/>
    </dxf>
    <dxf>
      <fill>
        <patternFill patternType="solid">
          <fgColor indexed="64"/>
          <bgColor rgb="FFFFFFFF"/>
        </patternFill>
      </fill>
    </dxf>
    <dxf>
      <fill>
        <patternFill patternType="solid">
          <fgColor indexed="64"/>
          <bgColor rgb="FFFFFFFF"/>
        </patternFill>
      </fill>
    </dxf>
    <dxf>
      <font>
        <strike val="0"/>
      </font>
    </dxf>
    <dxf>
      <font>
        <strike val="0"/>
      </font>
    </dxf>
    <dxf>
      <font>
        <u val="none"/>
      </font>
    </dxf>
    <dxf>
      <font>
        <u val="none"/>
      </font>
    </dxf>
    <dxf>
      <font>
        <i val="0"/>
      </font>
    </dxf>
    <dxf>
      <font>
        <i val="0"/>
      </font>
    </dxf>
    <dxf>
      <font>
        <b val="0"/>
      </font>
    </dxf>
    <dxf>
      <font>
        <b val="0"/>
      </font>
    </dxf>
    <dxf>
      <font>
        <name val="Calibri"/>
      </font>
    </dxf>
    <dxf>
      <font>
        <name val="Calibri"/>
      </font>
    </dxf>
    <dxf>
      <font>
        <sz val="10"/>
      </font>
    </dxf>
    <dxf>
      <font>
        <sz val="10"/>
      </font>
    </dxf>
    <dxf>
      <font>
        <color rgb="FF222222"/>
      </font>
    </dxf>
    <dxf>
      <font>
        <color rgb="FF222222"/>
      </font>
    </dxf>
    <dxf>
      <border diagonalUp="0" diagonalDown="0" outline="0">
        <left style="thin">
          <color rgb="FFBFBFBF"/>
        </left>
        <right style="thin">
          <color rgb="FFBFBFBF"/>
        </right>
        <top style="thin">
          <color rgb="FF4472C4"/>
        </top>
        <bottom style="thin">
          <color rgb="FFBFBFBF"/>
        </bottom>
      </border>
    </dxf>
    <dxf>
      <border diagonalUp="0" diagonalDown="0" outline="0">
        <left style="thin">
          <color rgb="FFBFBFBF"/>
        </left>
        <right style="thin">
          <color rgb="FFBFBFBF"/>
        </right>
        <top style="thin">
          <color rgb="FF4472C4"/>
        </top>
        <bottom style="thin">
          <color rgb="FFBFBFBF"/>
        </bottom>
      </border>
    </dxf>
    <dxf>
      <border diagonalUp="0" diagonalDown="0" outline="0">
        <left style="thin">
          <color rgb="FFBFBFBF"/>
        </left>
        <right style="thin">
          <color rgb="FFBFBFBF"/>
        </right>
        <top style="thin">
          <color rgb="FF4472C4"/>
        </top>
        <bottom style="thin">
          <color rgb="FFBFBFBF"/>
        </bottom>
      </border>
    </dxf>
    <dxf>
      <border diagonalUp="0" diagonalDown="0" outline="0">
        <left style="thin">
          <color rgb="FFBFBFBF"/>
        </left>
        <right style="thin">
          <color rgb="FFBFBFBF"/>
        </right>
        <top style="thin">
          <color rgb="FF4472C4"/>
        </top>
        <bottom style="thin">
          <color rgb="FFBFBFBF"/>
        </bottom>
      </border>
    </dxf>
    <dxf>
      <border diagonalUp="0" diagonalDown="0" outline="0">
        <left style="thin">
          <color rgb="FFBFBFBF"/>
        </left>
        <right style="thin">
          <color rgb="FFBFBFBF"/>
        </right>
        <top style="thin">
          <color rgb="FF4472C4"/>
        </top>
        <bottom style="thin">
          <color rgb="FFBFBFBF"/>
        </bottom>
      </border>
    </dxf>
    <dxf>
      <border diagonalUp="0" diagonalDown="0" outline="0">
        <left style="thin">
          <color rgb="FFBFBFBF"/>
        </left>
        <right style="thin">
          <color rgb="FFBFBFBF"/>
        </right>
        <top style="thin">
          <color rgb="FF4472C4"/>
        </top>
        <bottom style="thin">
          <color rgb="FFBFBFBF"/>
        </bottom>
      </border>
    </dxf>
    <dxf>
      <border diagonalUp="0" diagonalDown="0" outline="0">
        <left style="thin">
          <color rgb="FFBFBFBF"/>
        </left>
        <right style="thin">
          <color rgb="FFBFBFBF"/>
        </right>
        <top style="thin">
          <color rgb="FF4472C4"/>
        </top>
        <bottom style="thin">
          <color rgb="FFBFBFBF"/>
        </bottom>
      </border>
    </dxf>
    <dxf>
      <border diagonalUp="0" diagonalDown="0" outline="0">
        <left style="thin">
          <color rgb="FFBFBFBF"/>
        </left>
        <right style="thin">
          <color rgb="FFBFBFBF"/>
        </right>
        <top style="thin">
          <color rgb="FF4472C4"/>
        </top>
        <bottom style="thin">
          <color rgb="FFBFBFBF"/>
        </bottom>
      </border>
    </dxf>
    <dxf>
      <border diagonalUp="0" diagonalDown="0" outline="0">
        <left style="thin">
          <color rgb="FFBFBFBF"/>
        </left>
        <right style="thin">
          <color rgb="FFBFBFBF"/>
        </right>
        <top style="thin">
          <color rgb="FF4472C4"/>
        </top>
        <bottom style="thin">
          <color rgb="FFBFBFBF"/>
        </bottom>
      </border>
    </dxf>
    <dxf>
      <border diagonalUp="0" diagonalDown="0" outline="0">
        <left style="thin">
          <color rgb="FFBFBFBF"/>
        </left>
        <right style="thin">
          <color rgb="FFBFBFBF"/>
        </right>
        <top style="thin">
          <color rgb="FF4472C4"/>
        </top>
        <bottom style="thin">
          <color rgb="FFBFBFBF"/>
        </bottom>
      </border>
    </dxf>
    <dxf>
      <border diagonalUp="0" diagonalDown="0" outline="0">
        <left style="thin">
          <color rgb="FFBFBFBF"/>
        </left>
        <right style="thin">
          <color rgb="FFBFBFBF"/>
        </right>
        <top style="thin">
          <color rgb="FF4472C4"/>
        </top>
        <bottom style="thin">
          <color rgb="FFBFBFBF"/>
        </bottom>
      </border>
    </dxf>
    <dxf>
      <border diagonalUp="0" diagonalDown="0" outline="0">
        <left style="thin">
          <color rgb="FFBFBFBF"/>
        </left>
        <right style="thin">
          <color rgb="FFBFBFBF"/>
        </right>
        <top style="thin">
          <color rgb="FF4472C4"/>
        </top>
        <bottom style="thin">
          <color rgb="FFBFBFBF"/>
        </bottom>
      </border>
    </dxf>
    <dxf>
      <border diagonalUp="0" diagonalDown="0" outline="0">
        <left style="thin">
          <color rgb="FFBFBFBF"/>
        </left>
        <right style="thin">
          <color rgb="FFBFBFBF"/>
        </right>
        <top style="thin">
          <color rgb="FF4472C4"/>
        </top>
        <bottom style="thin">
          <color rgb="FFBFBFBF"/>
        </bottom>
      </border>
    </dxf>
    <dxf>
      <border diagonalUp="0" diagonalDown="0" outline="0">
        <left style="thin">
          <color rgb="FFBFBFBF"/>
        </left>
        <right style="thin">
          <color rgb="FFBFBFBF"/>
        </right>
        <top style="thin">
          <color rgb="FF4472C4"/>
        </top>
        <bottom style="thin">
          <color rgb="FFBFBFBF"/>
        </bottom>
      </border>
    </dxf>
    <dxf>
      <border diagonalUp="0" diagonalDown="0" outline="0">
        <left style="thin">
          <color rgb="FFBFBFBF"/>
        </left>
        <right style="thin">
          <color rgb="FFBFBFBF"/>
        </right>
        <top style="thin">
          <color rgb="FF4472C4"/>
        </top>
        <bottom style="thin">
          <color rgb="FFBFBFBF"/>
        </bottom>
      </border>
    </dxf>
    <dxf>
      <border diagonalUp="0" diagonalDown="0" outline="0">
        <left style="thin">
          <color rgb="FFBFBFBF"/>
        </left>
        <right style="thin">
          <color rgb="FFBFBFBF"/>
        </right>
        <top style="thin">
          <color rgb="FF4472C4"/>
        </top>
        <bottom style="thin">
          <color rgb="FFBFBFBF"/>
        </bottom>
      </border>
    </dxf>
    <dxf>
      <border diagonalUp="0" diagonalDown="0" outline="0">
        <left style="thin">
          <color rgb="FFBFBFBF"/>
        </left>
        <right style="thin">
          <color rgb="FFBFBFBF"/>
        </right>
        <top style="thin">
          <color rgb="FF4472C4"/>
        </top>
        <bottom style="thin">
          <color rgb="FFBFBFBF"/>
        </bottom>
      </border>
    </dxf>
    <dxf>
      <border diagonalUp="0" diagonalDown="0" outline="0">
        <left style="thin">
          <color rgb="FFBFBFBF"/>
        </left>
        <right style="thin">
          <color rgb="FFBFBFBF"/>
        </right>
        <top style="thin">
          <color rgb="FF4472C4"/>
        </top>
        <bottom style="thin">
          <color rgb="FFBFBFBF"/>
        </bottom>
      </border>
    </dxf>
    <dxf>
      <border diagonalUp="0" diagonalDown="0" outline="0">
        <left style="thin">
          <color rgb="FFBFBFBF"/>
        </left>
        <right style="thin">
          <color rgb="FFBFBFBF"/>
        </right>
        <top style="thin">
          <color rgb="FF4472C4"/>
        </top>
        <bottom style="thin">
          <color rgb="FFBFBFBF"/>
        </bottom>
      </border>
    </dxf>
    <dxf>
      <border diagonalUp="0" diagonalDown="0" outline="0">
        <left style="thin">
          <color rgb="FFBFBFBF"/>
        </left>
        <right style="thin">
          <color rgb="FFBFBFBF"/>
        </right>
        <top style="thin">
          <color rgb="FF4472C4"/>
        </top>
        <bottom style="thin">
          <color rgb="FFBFBFBF"/>
        </bottom>
      </border>
    </dxf>
    <dxf>
      <border diagonalUp="0" diagonalDown="0" outline="0">
        <left style="thin">
          <color rgb="FFBFBFBF"/>
        </left>
        <right style="thin">
          <color rgb="FFBFBFBF"/>
        </right>
        <top style="thin">
          <color rgb="FF4472C4"/>
        </top>
        <bottom style="thin">
          <color rgb="FFBFBFBF"/>
        </bottom>
      </border>
    </dxf>
    <dxf>
      <border diagonalUp="0" diagonalDown="0" outline="0">
        <left style="thin">
          <color rgb="FFBFBFBF"/>
        </left>
        <right style="thin">
          <color rgb="FFBFBFBF"/>
        </right>
        <top style="thin">
          <color rgb="FF4472C4"/>
        </top>
        <bottom style="thin">
          <color rgb="FFBFBFBF"/>
        </bottom>
      </border>
    </dxf>
    <dxf>
      <border diagonalUp="0" diagonalDown="0" outline="0">
        <left style="thin">
          <color rgb="FFBFBFBF"/>
        </left>
        <right style="thin">
          <color rgb="FFBFBFBF"/>
        </right>
        <top style="thin">
          <color rgb="FF4472C4"/>
        </top>
        <bottom style="thin">
          <color rgb="FFBFBFBF"/>
        </bottom>
      </border>
    </dxf>
    <dxf>
      <border diagonalUp="0" diagonalDown="0" outline="0">
        <left style="thin">
          <color rgb="FFBFBFBF"/>
        </left>
        <right style="thin">
          <color rgb="FFBFBFBF"/>
        </right>
        <top style="thin">
          <color rgb="FF4472C4"/>
        </top>
        <bottom style="thin">
          <color rgb="FFBFBFBF"/>
        </bottom>
      </border>
    </dxf>
    <dxf>
      <border diagonalUp="0" diagonalDown="0" outline="0">
        <left style="thin">
          <color rgb="FFBFBFBF"/>
        </left>
        <right style="thin">
          <color rgb="FFBFBFBF"/>
        </right>
        <top style="thin">
          <color rgb="FF4472C4"/>
        </top>
        <bottom style="thin">
          <color rgb="FFBFBFBF"/>
        </bottom>
      </border>
    </dxf>
    <dxf>
      <border diagonalUp="0" diagonalDown="0" outline="0">
        <left style="thin">
          <color rgb="FFBFBFBF"/>
        </left>
        <right style="thin">
          <color rgb="FFBFBFBF"/>
        </right>
        <top style="thin">
          <color rgb="FF4472C4"/>
        </top>
        <bottom style="thin">
          <color rgb="FFBFBFBF"/>
        </bottom>
      </border>
    </dxf>
    <dxf>
      <border diagonalUp="0" diagonalDown="0" outline="0">
        <left style="thin">
          <color rgb="FFBFBFBF"/>
        </left>
        <right style="thin">
          <color rgb="FFBFBFBF"/>
        </right>
        <top style="thin">
          <color rgb="FF4472C4"/>
        </top>
        <bottom style="thin">
          <color rgb="FFBFBFBF"/>
        </bottom>
      </border>
    </dxf>
    <dxf>
      <border diagonalUp="0" diagonalDown="0" outline="0">
        <left style="thin">
          <color rgb="FFBFBFBF"/>
        </left>
        <right style="thin">
          <color rgb="FFBFBFBF"/>
        </right>
        <top style="thin">
          <color rgb="FF4472C4"/>
        </top>
        <bottom style="thin">
          <color rgb="FFBFBFBF"/>
        </bottom>
      </border>
    </dxf>
    <dxf>
      <border diagonalUp="0" diagonalDown="0" outline="0">
        <left style="thin">
          <color rgb="FFBFBFBF"/>
        </left>
        <right style="thin">
          <color rgb="FFBFBFBF"/>
        </right>
        <top style="thin">
          <color rgb="FF4472C4"/>
        </top>
        <bottom style="thin">
          <color rgb="FFBFBFBF"/>
        </bottom>
      </border>
    </dxf>
    <dxf>
      <border diagonalUp="0" diagonalDown="0" outline="0">
        <left style="thin">
          <color rgb="FFBFBFBF"/>
        </left>
        <right style="thin">
          <color rgb="FFBFBFBF"/>
        </right>
        <top style="thin">
          <color rgb="FF4472C4"/>
        </top>
        <bottom style="thin">
          <color rgb="FFBFBFBF"/>
        </bottom>
      </border>
    </dxf>
    <dxf>
      <border diagonalUp="0" diagonalDown="0" outline="0">
        <left style="thin">
          <color rgb="FFBFBFBF"/>
        </left>
        <right style="thin">
          <color rgb="FFBFBFBF"/>
        </right>
        <top style="thin">
          <color rgb="FF4472C4"/>
        </top>
        <bottom style="thin">
          <color rgb="FFBFBFBF"/>
        </bottom>
      </border>
    </dxf>
    <dxf>
      <border diagonalUp="0" diagonalDown="0" outline="0">
        <left style="thin">
          <color rgb="FFBFBFBF"/>
        </left>
        <right style="thin">
          <color rgb="FFBFBFBF"/>
        </right>
        <top style="thin">
          <color rgb="FF4472C4"/>
        </top>
        <bottom style="thin">
          <color rgb="FFBFBFBF"/>
        </bottom>
      </border>
    </dxf>
    <dxf>
      <border diagonalUp="0" diagonalDown="0" outline="0">
        <left style="thin">
          <color rgb="FFBFBFBF"/>
        </left>
        <right style="thin">
          <color rgb="FFBFBFBF"/>
        </right>
        <top style="thin">
          <color rgb="FF4472C4"/>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numFmt numFmtId="0" formatCode="General"/>
    </dxf>
    <dxf>
      <numFmt numFmtId="0" formatCode="General"/>
    </dxf>
    <dxf>
      <numFmt numFmtId="0" formatCode="General"/>
    </dxf>
    <dxf>
      <alignment horizontal="center"/>
    </dxf>
    <dxf>
      <alignment horizontal="center"/>
    </dxf>
    <dxf>
      <alignment horizontal="center"/>
    </dxf>
    <dxf>
      <fill>
        <patternFill patternType="solid">
          <fgColor indexed="64"/>
          <bgColor rgb="FFD9EAF7"/>
        </patternFill>
      </fill>
    </dxf>
    <dxf>
      <fill>
        <patternFill patternType="solid">
          <fgColor indexed="64"/>
          <bgColor rgb="FFD9EAF7"/>
        </patternFill>
      </fill>
    </dxf>
    <dxf>
      <fill>
        <patternFill patternType="solid">
          <fgColor indexed="64"/>
          <bgColor rgb="FFD9EAF7"/>
        </patternFill>
      </fill>
    </dxf>
    <dxf>
      <font>
        <strike val="0"/>
      </font>
    </dxf>
    <dxf>
      <font>
        <strike val="0"/>
      </font>
    </dxf>
    <dxf>
      <font>
        <strike val="0"/>
      </font>
    </dxf>
    <dxf>
      <font>
        <u val="none"/>
      </font>
    </dxf>
    <dxf>
      <font>
        <u val="none"/>
      </font>
    </dxf>
    <dxf>
      <font>
        <u val="none"/>
      </font>
    </dxf>
    <dxf>
      <font>
        <i val="0"/>
      </font>
    </dxf>
    <dxf>
      <font>
        <i val="0"/>
      </font>
    </dxf>
    <dxf>
      <font>
        <i val="0"/>
      </font>
    </dxf>
    <dxf>
      <font>
        <b/>
      </font>
    </dxf>
    <dxf>
      <font>
        <b/>
      </font>
    </dxf>
    <dxf>
      <font>
        <b/>
      </font>
    </dxf>
    <dxf>
      <font>
        <name val="Calibri"/>
      </font>
    </dxf>
    <dxf>
      <font>
        <name val="Calibri"/>
      </font>
    </dxf>
    <dxf>
      <font>
        <name val="Calibri"/>
      </font>
    </dxf>
    <dxf>
      <font>
        <sz val="10"/>
      </font>
    </dxf>
    <dxf>
      <font>
        <sz val="10"/>
      </font>
    </dxf>
    <dxf>
      <font>
        <sz val="10"/>
      </font>
    </dxf>
    <dxf>
      <font>
        <color rgb="FF1F4E79"/>
      </font>
    </dxf>
    <dxf>
      <font>
        <color rgb="FF1F4E79"/>
      </font>
    </dxf>
    <dxf>
      <font>
        <color rgb="FF1F4E79"/>
      </font>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font>
        <b/>
      </font>
    </dxf>
    <dxf>
      <font>
        <b/>
      </font>
    </dxf>
    <dxf>
      <fill>
        <patternFill patternType="solid">
          <fgColor indexed="64"/>
          <bgColor rgb="FFE2F0D9"/>
        </patternFill>
      </fill>
    </dxf>
    <dxf>
      <fill>
        <patternFill patternType="solid">
          <fgColor indexed="64"/>
          <bgColor rgb="FFE2F0D9"/>
        </patternFill>
      </fill>
    </dxf>
    <dxf>
      <font>
        <color rgb="FF222222"/>
      </font>
    </dxf>
    <dxf>
      <font>
        <color rgb="FF222222"/>
      </font>
    </dxf>
    <dxf>
      <fill>
        <patternFill patternType="solid">
          <fgColor indexed="64"/>
          <bgColor rgb="FFFFFFFF"/>
        </patternFill>
      </fill>
    </dxf>
    <dxf>
      <fill>
        <patternFill patternType="solid">
          <fgColor indexed="64"/>
          <bgColor rgb="FFFFFFFF"/>
        </patternFill>
      </fill>
    </dxf>
    <dxf>
      <alignment horizontal="center"/>
    </dxf>
    <dxf>
      <alignment horizontal="center"/>
    </dxf>
    <dxf>
      <alignment horizontal="center"/>
    </dxf>
    <dxf>
      <font>
        <b/>
      </font>
    </dxf>
    <dxf>
      <font>
        <b/>
      </font>
    </dxf>
    <dxf>
      <font>
        <b/>
      </font>
    </dxf>
    <dxf>
      <font>
        <color rgb="FF1F4E79"/>
      </font>
    </dxf>
    <dxf>
      <font>
        <color rgb="FF1F4E79"/>
      </font>
    </dxf>
    <dxf>
      <font>
        <color rgb="FF1F4E79"/>
      </font>
    </dxf>
    <dxf>
      <fill>
        <patternFill patternType="solid">
          <fgColor indexed="64"/>
          <bgColor rgb="FFD9EAF7"/>
        </patternFill>
      </fill>
    </dxf>
    <dxf>
      <fill>
        <patternFill patternType="solid">
          <fgColor indexed="64"/>
          <bgColor rgb="FFD9EAF7"/>
        </patternFill>
      </fill>
    </dxf>
    <dxf>
      <fill>
        <patternFill patternType="solid">
          <fgColor indexed="64"/>
          <bgColor rgb="FFD9EAF7"/>
        </patternFill>
      </fill>
    </dxf>
    <dxf>
      <font>
        <sz val="10"/>
      </font>
    </dxf>
    <dxf>
      <font>
        <sz val="10"/>
      </font>
    </dxf>
    <dxf>
      <font>
        <sz val="10"/>
      </font>
    </dxf>
    <dxf>
      <font>
        <sz val="10"/>
      </font>
    </dxf>
    <dxf>
      <font>
        <sz val="10"/>
      </font>
    </dxf>
    <dxf>
      <font>
        <sz val="10"/>
      </font>
    </dxf>
    <dxf>
      <font>
        <sz val="10"/>
      </font>
    </dxf>
    <dxf>
      <font>
        <name val="Calibri"/>
      </font>
    </dxf>
    <dxf>
      <font>
        <name val="Calibri"/>
      </font>
    </dxf>
    <dxf>
      <font>
        <name val="Calibri"/>
      </font>
    </dxf>
    <dxf>
      <font>
        <name val="Calibri"/>
      </font>
    </dxf>
    <dxf>
      <font>
        <name val="Calibri"/>
      </font>
    </dxf>
    <dxf>
      <font>
        <name val="Calibri"/>
      </font>
    </dxf>
    <dxf>
      <font>
        <name val="Calibri"/>
      </font>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auto="1"/>
        </right>
        <top style="thin">
          <color rgb="FFBFBFBF"/>
        </top>
        <bottom style="thin">
          <color rgb="FFBFBFBF"/>
        </bottom>
      </border>
    </dxf>
    <dxf>
      <border diagonalUp="0" diagonalDown="0" outline="0">
        <left style="thin">
          <color rgb="FFBFBFBF"/>
        </left>
        <right style="thin">
          <color auto="1"/>
        </right>
        <top style="thin">
          <color rgb="FFBFBFBF"/>
        </top>
        <bottom style="thin">
          <color rgb="FFBFBFBF"/>
        </bottom>
      </border>
    </dxf>
    <dxf>
      <border diagonalUp="0" diagonalDown="0" outline="0">
        <left style="thin">
          <color rgb="FFBFBFBF"/>
        </left>
        <right style="thin">
          <color auto="1"/>
        </right>
        <top style="thin">
          <color rgb="FFBFBFBF"/>
        </top>
        <bottom style="thin">
          <color rgb="FFBFBFBF"/>
        </bottom>
      </border>
    </dxf>
    <dxf>
      <border diagonalUp="0" diagonalDown="0" outline="0">
        <left style="thin">
          <color rgb="FFBFBFBF"/>
        </left>
        <right style="thin">
          <color auto="1"/>
        </right>
        <top style="thin">
          <color rgb="FFBFBFBF"/>
        </top>
        <bottom style="thin">
          <color rgb="FFBFBFBF"/>
        </bottom>
      </border>
    </dxf>
    <dxf>
      <border diagonalUp="0" diagonalDown="0" outline="0">
        <left style="thin">
          <color rgb="FFBFBFBF"/>
        </left>
        <right style="thin">
          <color auto="1"/>
        </right>
        <top style="thin">
          <color rgb="FFBFBFBF"/>
        </top>
        <bottom style="thin">
          <color rgb="FFBFBFBF"/>
        </bottom>
      </border>
    </dxf>
    <dxf>
      <border diagonalUp="0" diagonalDown="0" outline="0">
        <left style="thin">
          <color rgb="FFBFBFBF"/>
        </left>
        <right style="thin">
          <color auto="1"/>
        </right>
        <top style="thin">
          <color rgb="FFBFBFBF"/>
        </top>
        <bottom style="thin">
          <color rgb="FFBFBFBF"/>
        </bottom>
      </border>
    </dxf>
    <dxf>
      <border diagonalUp="0" diagonalDown="0" outline="0">
        <left style="thin">
          <color rgb="FFBFBFBF"/>
        </left>
        <right style="thin">
          <color auto="1"/>
        </right>
        <top style="thin">
          <color rgb="FFBFBFBF"/>
        </top>
        <bottom style="thin">
          <color rgb="FFBFBFBF"/>
        </bottom>
      </border>
    </dxf>
    <dxf>
      <border diagonalUp="0" diagonalDown="0" outline="0">
        <left style="thin">
          <color rgb="FFBFBFBF"/>
        </left>
        <right style="thin">
          <color auto="1"/>
        </right>
        <top style="thin">
          <color rgb="FFBFBFBF"/>
        </top>
        <bottom style="thin">
          <color rgb="FFBFBFBF"/>
        </bottom>
      </border>
    </dxf>
    <dxf>
      <border diagonalUp="0" diagonalDown="0" outline="0">
        <left style="thin">
          <color rgb="FFBFBFBF"/>
        </left>
        <right style="thin">
          <color auto="1"/>
        </right>
        <top style="thin">
          <color rgb="FFBFBFBF"/>
        </top>
        <bottom style="thin">
          <color rgb="FFBFBFBF"/>
        </bottom>
      </border>
    </dxf>
    <dxf>
      <border diagonalUp="0" diagonalDown="0" outline="0">
        <left style="thin">
          <color rgb="FFBFBFBF"/>
        </left>
        <right style="thin">
          <color auto="1"/>
        </right>
        <top style="thin">
          <color rgb="FFBFBFBF"/>
        </top>
        <bottom style="thin">
          <color rgb="FFBFBFBF"/>
        </bottom>
      </border>
    </dxf>
    <dxf>
      <border diagonalUp="0" diagonalDown="0" outline="0">
        <left style="thin">
          <color rgb="FFBFBFBF"/>
        </left>
        <right style="thin">
          <color auto="1"/>
        </right>
        <top style="thin">
          <color rgb="FFBFBFBF"/>
        </top>
        <bottom style="thin">
          <color rgb="FFBFBFBF"/>
        </bottom>
      </border>
    </dxf>
    <dxf>
      <border diagonalUp="0" diagonalDown="0" outline="0">
        <left style="thin">
          <color rgb="FFBFBFBF"/>
        </left>
        <right style="thin">
          <color auto="1"/>
        </right>
        <top style="thin">
          <color rgb="FFBFBFBF"/>
        </top>
        <bottom style="thin">
          <color rgb="FFBFBFBF"/>
        </bottom>
      </border>
    </dxf>
    <dxf>
      <border diagonalUp="0" diagonalDown="0" outline="0">
        <left style="thin">
          <color rgb="FFBFBFBF"/>
        </left>
        <right style="thin">
          <color auto="1"/>
        </right>
        <top style="thin">
          <color rgb="FFBFBFBF"/>
        </top>
        <bottom style="thin">
          <color rgb="FFBFBFBF"/>
        </bottom>
      </border>
    </dxf>
    <dxf>
      <border diagonalUp="0" diagonalDown="0" outline="0">
        <left style="thin">
          <color rgb="FFBFBFBF"/>
        </left>
        <right style="thin">
          <color auto="1"/>
        </right>
        <top style="thin">
          <color rgb="FFBFBFBF"/>
        </top>
        <bottom style="thin">
          <color rgb="FFBFBFBF"/>
        </bottom>
      </border>
    </dxf>
    <dxf>
      <border diagonalUp="0" diagonalDown="0" outline="0">
        <left style="thin">
          <color rgb="FFBFBFBF"/>
        </left>
        <right/>
        <top style="thin">
          <color rgb="FFBFBFBF"/>
        </top>
        <bottom style="thin">
          <color rgb="FFBFBFBF"/>
        </bottom>
      </border>
    </dxf>
    <dxf>
      <border diagonalUp="0" diagonalDown="0" outline="0">
        <left style="thin">
          <color rgb="FFBFBFBF"/>
        </left>
        <right/>
        <top style="thin">
          <color rgb="FFBFBFBF"/>
        </top>
        <bottom style="thin">
          <color rgb="FFBFBFBF"/>
        </bottom>
      </border>
    </dxf>
    <dxf>
      <border diagonalUp="0" diagonalDown="0" outline="0">
        <left style="thin">
          <color rgb="FFBFBFBF"/>
        </left>
        <right/>
        <top style="thin">
          <color rgb="FFBFBFBF"/>
        </top>
        <bottom style="thin">
          <color rgb="FFBFBFBF"/>
        </bottom>
      </border>
    </dxf>
    <dxf>
      <border diagonalUp="0" diagonalDown="0" outline="0">
        <left style="thin">
          <color rgb="FFBFBFBF"/>
        </left>
        <right/>
        <top style="thin">
          <color rgb="FFBFBFBF"/>
        </top>
        <bottom style="thin">
          <color rgb="FFBFBFBF"/>
        </bottom>
      </border>
    </dxf>
    <dxf>
      <border diagonalUp="0" diagonalDown="0" outline="0">
        <left style="thin">
          <color rgb="FFBFBFBF"/>
        </left>
        <right/>
        <top style="thin">
          <color rgb="FFBFBFBF"/>
        </top>
        <bottom style="thin">
          <color rgb="FFBFBFBF"/>
        </bottom>
      </border>
    </dxf>
    <dxf>
      <border diagonalUp="0" diagonalDown="0" outline="0">
        <left style="thin">
          <color rgb="FFBFBFBF"/>
        </left>
        <right/>
        <top style="thin">
          <color rgb="FFBFBFBF"/>
        </top>
        <bottom style="thin">
          <color rgb="FFBFBFBF"/>
        </bottom>
      </border>
    </dxf>
    <dxf>
      <border diagonalUp="0" diagonalDown="0" outline="0">
        <left style="thin">
          <color rgb="FFBFBFBF"/>
        </left>
        <right/>
        <top style="thin">
          <color rgb="FFBFBFBF"/>
        </top>
        <bottom style="thin">
          <color rgb="FFBFBFBF"/>
        </bottom>
      </border>
    </dxf>
    <dxf>
      <border diagonalUp="0" diagonalDown="0" outline="0">
        <left style="thin">
          <color indexed="64"/>
        </left>
        <right/>
        <top style="thin">
          <color rgb="FFBFBFBF"/>
        </top>
        <bottom style="thin">
          <color rgb="FFBFBFBF"/>
        </bottom>
      </border>
    </dxf>
    <dxf>
      <border diagonalUp="0" diagonalDown="0" outline="0">
        <left style="thin">
          <color indexed="64"/>
        </left>
        <right/>
        <top style="thin">
          <color rgb="FFBFBFBF"/>
        </top>
        <bottom style="thin">
          <color rgb="FFBFBFBF"/>
        </bottom>
      </border>
    </dxf>
    <dxf>
      <border diagonalUp="0" diagonalDown="0" outline="0">
        <left style="thin">
          <color indexed="64"/>
        </left>
        <right/>
        <top style="thin">
          <color rgb="FFBFBFBF"/>
        </top>
        <bottom style="thin">
          <color rgb="FFBFBFBF"/>
        </bottom>
      </border>
    </dxf>
    <dxf>
      <border diagonalUp="0" diagonalDown="0" outline="0">
        <left style="thin">
          <color indexed="64"/>
        </left>
        <right/>
        <top style="thin">
          <color rgb="FFBFBFBF"/>
        </top>
        <bottom style="thin">
          <color rgb="FFBFBFBF"/>
        </bottom>
      </border>
    </dxf>
    <dxf>
      <border diagonalUp="0" diagonalDown="0" outline="0">
        <left style="thin">
          <color indexed="64"/>
        </left>
        <right/>
        <top style="thin">
          <color rgb="FFBFBFBF"/>
        </top>
        <bottom style="thin">
          <color rgb="FFBFBFBF"/>
        </bottom>
      </border>
    </dxf>
    <dxf>
      <border diagonalUp="0" diagonalDown="0" outline="0">
        <left style="thin">
          <color indexed="64"/>
        </left>
        <right/>
        <top style="thin">
          <color rgb="FFBFBFBF"/>
        </top>
        <bottom style="thin">
          <color rgb="FFBFBFBF"/>
        </bottom>
      </border>
    </dxf>
    <dxf>
      <border diagonalUp="0" diagonalDown="0" outline="0">
        <left style="thin">
          <color indexed="64"/>
        </left>
        <right/>
        <top style="thin">
          <color rgb="FFBFBFBF"/>
        </top>
        <bottom style="thin">
          <color rgb="FFBFBFBF"/>
        </bottom>
      </border>
    </dxf>
    <dxf>
      <border diagonalUp="0" diagonalDown="0" outline="0">
        <left style="thin">
          <color auto="1"/>
        </left>
        <right/>
        <top style="thin">
          <color rgb="FFBFBFBF"/>
        </top>
        <bottom style="thin">
          <color rgb="FFBFBFBF"/>
        </bottom>
      </border>
    </dxf>
    <dxf>
      <border diagonalUp="0" diagonalDown="0" outline="0">
        <left style="thin">
          <color auto="1"/>
        </left>
        <right/>
        <top style="thin">
          <color rgb="FFBFBFBF"/>
        </top>
        <bottom style="thin">
          <color rgb="FFBFBFBF"/>
        </bottom>
      </border>
    </dxf>
    <dxf>
      <border diagonalUp="0" diagonalDown="0" outline="0">
        <left style="thin">
          <color auto="1"/>
        </left>
        <right/>
        <top style="thin">
          <color rgb="FFBFBFBF"/>
        </top>
        <bottom style="thin">
          <color rgb="FFBFBFBF"/>
        </bottom>
      </border>
    </dxf>
    <dxf>
      <border diagonalUp="0" diagonalDown="0" outline="0">
        <left style="thin">
          <color auto="1"/>
        </left>
        <right/>
        <top style="thin">
          <color rgb="FFBFBFBF"/>
        </top>
        <bottom style="thin">
          <color rgb="FFBFBFBF"/>
        </bottom>
      </border>
    </dxf>
    <dxf>
      <border diagonalUp="0" diagonalDown="0" outline="0">
        <left style="thin">
          <color auto="1"/>
        </left>
        <right/>
        <top style="thin">
          <color rgb="FFBFBFBF"/>
        </top>
        <bottom style="thin">
          <color rgb="FFBFBFBF"/>
        </bottom>
      </border>
    </dxf>
    <dxf>
      <border diagonalUp="0" diagonalDown="0" outline="0">
        <left style="thin">
          <color auto="1"/>
        </left>
        <right/>
        <top style="thin">
          <color rgb="FFBFBFBF"/>
        </top>
        <bottom style="thin">
          <color rgb="FFBFBFBF"/>
        </bottom>
      </border>
    </dxf>
    <dxf>
      <border diagonalUp="0" diagonalDown="0" outline="0">
        <left style="thin">
          <color auto="1"/>
        </left>
        <right/>
        <top style="thin">
          <color rgb="FFBFBFBF"/>
        </top>
        <bottom style="thin">
          <color rgb="FFBFBFBF"/>
        </bottom>
      </border>
    </dxf>
    <dxf>
      <border diagonalUp="0" diagonalDown="0" outline="0">
        <left/>
        <right/>
        <top style="thin">
          <color rgb="FFBFBFBF"/>
        </top>
        <bottom style="thin">
          <color rgb="FFBFBFBF"/>
        </bottom>
      </border>
    </dxf>
    <dxf>
      <border diagonalUp="0" diagonalDown="0" outline="0">
        <left/>
        <right/>
        <top style="thin">
          <color rgb="FFBFBFBF"/>
        </top>
        <bottom style="thin">
          <color rgb="FFBFBFBF"/>
        </bottom>
      </border>
    </dxf>
    <dxf>
      <border diagonalUp="0" diagonalDown="0" outline="0">
        <left/>
        <right/>
        <top style="thin">
          <color rgb="FFBFBFBF"/>
        </top>
        <bottom style="thin">
          <color rgb="FFBFBFBF"/>
        </bottom>
      </border>
    </dxf>
    <dxf>
      <border diagonalUp="0" diagonalDown="0" outline="0">
        <left/>
        <right/>
        <top style="thin">
          <color rgb="FFBFBFBF"/>
        </top>
        <bottom style="thin">
          <color rgb="FFBFBFBF"/>
        </bottom>
      </border>
    </dxf>
    <dxf>
      <border diagonalUp="0" diagonalDown="0" outline="0">
        <left/>
        <right/>
        <top style="thin">
          <color rgb="FFBFBFBF"/>
        </top>
        <bottom style="thin">
          <color rgb="FFBFBFBF"/>
        </bottom>
      </border>
    </dxf>
    <dxf>
      <border diagonalUp="0" diagonalDown="0" outline="0">
        <left/>
        <right/>
        <top style="thin">
          <color rgb="FFBFBFBF"/>
        </top>
        <bottom style="thin">
          <color rgb="FFBFBFBF"/>
        </bottom>
      </border>
    </dxf>
    <dxf>
      <border diagonalUp="0" diagonalDown="0" outline="0">
        <left/>
        <right/>
        <top style="thin">
          <color rgb="FFBFBFBF"/>
        </top>
        <bottom style="thin">
          <color rgb="FFBFBFBF"/>
        </bottom>
      </border>
    </dxf>
    <dxf>
      <border diagonalUp="0" diagonalDown="0" outline="0">
        <left/>
        <right/>
        <top style="thin">
          <color rgb="FFBFBFBF"/>
        </top>
        <bottom style="thin">
          <color indexed="64"/>
        </bottom>
      </border>
    </dxf>
    <dxf>
      <border diagonalUp="0" diagonalDown="0" outline="0">
        <left/>
        <right/>
        <top style="thin">
          <color rgb="FFBFBFBF"/>
        </top>
        <bottom style="thin">
          <color indexed="64"/>
        </bottom>
      </border>
    </dxf>
    <dxf>
      <border diagonalUp="0" diagonalDown="0" outline="0">
        <left/>
        <right/>
        <top style="thin">
          <color rgb="FFBFBFBF"/>
        </top>
        <bottom style="thin">
          <color indexed="64"/>
        </bottom>
      </border>
    </dxf>
    <dxf>
      <border diagonalUp="0" diagonalDown="0" outline="0">
        <left/>
        <right/>
        <top style="thin">
          <color rgb="FFBFBFBF"/>
        </top>
        <bottom style="thin">
          <color indexed="64"/>
        </bottom>
      </border>
    </dxf>
    <dxf>
      <border diagonalUp="0" diagonalDown="0" outline="0">
        <left/>
        <right/>
        <top style="thin">
          <color rgb="FFBFBFBF"/>
        </top>
        <bottom style="thin">
          <color indexed="64"/>
        </bottom>
      </border>
    </dxf>
    <dxf>
      <border diagonalUp="0" diagonalDown="0" outline="0">
        <left/>
        <right/>
        <top style="thin">
          <color rgb="FFBFBFBF"/>
        </top>
        <bottom style="thin">
          <color indexed="64"/>
        </bottom>
      </border>
    </dxf>
    <dxf>
      <border diagonalUp="0" diagonalDown="0" outline="0">
        <left/>
        <right/>
        <top style="thin">
          <color rgb="FFBFBFBF"/>
        </top>
        <bottom style="thin">
          <color indexed="64"/>
        </bottom>
      </border>
    </dxf>
    <dxf>
      <border diagonalUp="0" diagonalDown="0" outline="0">
        <left/>
        <right/>
        <top style="thin">
          <color rgb="FFBFBFBF"/>
        </top>
        <bottom style="thin">
          <color auto="1"/>
        </bottom>
      </border>
    </dxf>
    <dxf>
      <border diagonalUp="0" diagonalDown="0" outline="0">
        <left/>
        <right/>
        <top style="thin">
          <color rgb="FFBFBFBF"/>
        </top>
        <bottom style="thin">
          <color auto="1"/>
        </bottom>
      </border>
    </dxf>
    <dxf>
      <border diagonalUp="0" diagonalDown="0" outline="0">
        <left/>
        <right/>
        <top style="thin">
          <color rgb="FFBFBFBF"/>
        </top>
        <bottom style="thin">
          <color auto="1"/>
        </bottom>
      </border>
    </dxf>
    <dxf>
      <border diagonalUp="0" diagonalDown="0" outline="0">
        <left/>
        <right/>
        <top style="thin">
          <color rgb="FFBFBFBF"/>
        </top>
        <bottom style="thin">
          <color auto="1"/>
        </bottom>
      </border>
    </dxf>
    <dxf>
      <border diagonalUp="0" diagonalDown="0" outline="0">
        <left/>
        <right/>
        <top style="thin">
          <color rgb="FFBFBFBF"/>
        </top>
        <bottom style="thin">
          <color auto="1"/>
        </bottom>
      </border>
    </dxf>
    <dxf>
      <border diagonalUp="0" diagonalDown="0" outline="0">
        <left/>
        <right/>
        <top style="thin">
          <color rgb="FFBFBFBF"/>
        </top>
        <bottom style="thin">
          <color auto="1"/>
        </bottom>
      </border>
    </dxf>
    <dxf>
      <border diagonalUp="0" diagonalDown="0" outline="0">
        <left/>
        <right/>
        <top style="thin">
          <color rgb="FFBFBFBF"/>
        </top>
        <bottom style="thin">
          <color auto="1"/>
        </bottom>
      </border>
    </dxf>
    <dxf>
      <border diagonalUp="0" diagonalDown="0" outline="0">
        <left/>
        <right/>
        <top style="thin">
          <color rgb="FFBFBFBF"/>
        </top>
        <bottom/>
      </border>
    </dxf>
    <dxf>
      <border diagonalUp="0" diagonalDown="0" outline="0">
        <left/>
        <right/>
        <top style="thin">
          <color rgb="FFBFBFBF"/>
        </top>
        <bottom/>
      </border>
    </dxf>
    <dxf>
      <border diagonalUp="0" diagonalDown="0" outline="0">
        <left/>
        <right/>
        <top style="thin">
          <color rgb="FFBFBFBF"/>
        </top>
        <bottom/>
      </border>
    </dxf>
    <dxf>
      <border diagonalUp="0" diagonalDown="0" outline="0">
        <left/>
        <right/>
        <top style="thin">
          <color rgb="FFBFBFBF"/>
        </top>
        <bottom/>
      </border>
    </dxf>
    <dxf>
      <border diagonalUp="0" diagonalDown="0" outline="0">
        <left/>
        <right/>
        <top style="thin">
          <color rgb="FFBFBFBF"/>
        </top>
        <bottom/>
      </border>
    </dxf>
    <dxf>
      <border diagonalUp="0" diagonalDown="0" outline="0">
        <left/>
        <right/>
        <top style="thin">
          <color rgb="FFBFBFBF"/>
        </top>
        <bottom/>
      </border>
    </dxf>
    <dxf>
      <border diagonalUp="0" diagonalDown="0" outline="0">
        <left/>
        <right/>
        <top style="thin">
          <color rgb="FFBFBFBF"/>
        </top>
        <bottom/>
      </border>
    </dxf>
    <dxf>
      <border diagonalUp="0" diagonalDown="0" outline="0">
        <left/>
        <right/>
        <top style="thin">
          <color indexed="64"/>
        </top>
        <bottom/>
      </border>
    </dxf>
    <dxf>
      <border diagonalUp="0" diagonalDown="0" outline="0">
        <left/>
        <right/>
        <top style="thin">
          <color indexed="64"/>
        </top>
        <bottom/>
      </border>
    </dxf>
    <dxf>
      <border diagonalUp="0" diagonalDown="0" outline="0">
        <left/>
        <right/>
        <top style="thin">
          <color indexed="64"/>
        </top>
        <bottom/>
      </border>
    </dxf>
    <dxf>
      <border diagonalUp="0" diagonalDown="0" outline="0">
        <left/>
        <right/>
        <top style="thin">
          <color indexed="64"/>
        </top>
        <bottom/>
      </border>
    </dxf>
    <dxf>
      <border diagonalUp="0" diagonalDown="0" outline="0">
        <left/>
        <right/>
        <top style="thin">
          <color indexed="64"/>
        </top>
        <bottom/>
      </border>
    </dxf>
    <dxf>
      <border diagonalUp="0" diagonalDown="0" outline="0">
        <left/>
        <right/>
        <top style="thin">
          <color indexed="64"/>
        </top>
        <bottom/>
      </border>
    </dxf>
    <dxf>
      <border diagonalUp="0" diagonalDown="0" outline="0">
        <left/>
        <right/>
        <top style="thin">
          <color indexed="64"/>
        </top>
        <bottom/>
      </border>
    </dxf>
    <dxf>
      <border diagonalUp="0" diagonalDown="0" outline="0">
        <left/>
        <right/>
        <top style="thin">
          <color auto="1"/>
        </top>
        <bottom/>
      </border>
    </dxf>
    <dxf>
      <border diagonalUp="0" diagonalDown="0" outline="0">
        <left/>
        <right/>
        <top style="thin">
          <color auto="1"/>
        </top>
        <bottom/>
      </border>
    </dxf>
    <dxf>
      <border diagonalUp="0" diagonalDown="0" outline="0">
        <left/>
        <right/>
        <top style="thin">
          <color auto="1"/>
        </top>
        <bottom/>
      </border>
    </dxf>
    <dxf>
      <border diagonalUp="0" diagonalDown="0" outline="0">
        <left/>
        <right/>
        <top style="thin">
          <color auto="1"/>
        </top>
        <bottom/>
      </border>
    </dxf>
    <dxf>
      <border diagonalUp="0" diagonalDown="0" outline="0">
        <left/>
        <right/>
        <top style="thin">
          <color auto="1"/>
        </top>
        <bottom/>
      </border>
    </dxf>
    <dxf>
      <border diagonalUp="0" diagonalDown="0" outline="0">
        <left/>
        <right/>
        <top style="thin">
          <color auto="1"/>
        </top>
        <bottom/>
      </border>
    </dxf>
    <dxf>
      <border diagonalUp="0" diagonalDown="0" outline="0">
        <left/>
        <right/>
        <top style="thin">
          <color auto="1"/>
        </top>
        <bottom/>
      </border>
    </dxf>
    <dxf>
      <font>
        <b/>
      </font>
    </dxf>
    <dxf>
      <font>
        <b/>
      </font>
    </dxf>
    <dxf>
      <font>
        <color rgb="FF222222"/>
      </font>
    </dxf>
    <dxf>
      <font>
        <color rgb="FF222222"/>
      </font>
    </dxf>
    <dxf>
      <fill>
        <patternFill patternType="solid">
          <fgColor indexed="64"/>
          <bgColor rgb="FFE2F0D9"/>
        </patternFill>
      </fill>
    </dxf>
    <dxf>
      <fill>
        <patternFill patternType="solid">
          <fgColor indexed="64"/>
          <bgColor rgb="FFE2F0D9"/>
        </patternFill>
      </fill>
    </dxf>
    <dxf>
      <font>
        <color rgb="FF222222"/>
      </font>
    </dxf>
    <dxf>
      <font>
        <color rgb="FF222222"/>
      </font>
    </dxf>
    <dxf>
      <fill>
        <patternFill patternType="solid">
          <fgColor indexed="64"/>
          <bgColor rgb="FFFFFFFF"/>
        </patternFill>
      </fill>
    </dxf>
    <dxf>
      <fill>
        <patternFill patternType="solid">
          <fgColor indexed="64"/>
          <bgColor rgb="FFFFFFFF"/>
        </patternFill>
      </fill>
    </dxf>
    <dxf>
      <alignment horizontal="center"/>
    </dxf>
    <dxf>
      <alignment horizontal="center"/>
    </dxf>
    <dxf>
      <alignment horizontal="center"/>
    </dxf>
    <dxf>
      <font>
        <b/>
      </font>
    </dxf>
    <dxf>
      <font>
        <b/>
      </font>
    </dxf>
    <dxf>
      <font>
        <b/>
      </font>
    </dxf>
    <dxf>
      <font>
        <color rgb="FF1F4E79"/>
      </font>
    </dxf>
    <dxf>
      <font>
        <color rgb="FF1F4E79"/>
      </font>
    </dxf>
    <dxf>
      <font>
        <color rgb="FF1F4E79"/>
      </font>
    </dxf>
    <dxf>
      <fill>
        <patternFill patternType="solid">
          <fgColor indexed="64"/>
          <bgColor rgb="FFD9EAF7"/>
        </patternFill>
      </fill>
    </dxf>
    <dxf>
      <fill>
        <patternFill patternType="solid">
          <fgColor indexed="64"/>
          <bgColor rgb="FFD9EAF7"/>
        </patternFill>
      </fill>
    </dxf>
    <dxf>
      <fill>
        <patternFill patternType="solid">
          <fgColor indexed="64"/>
          <bgColor rgb="FFD9EAF7"/>
        </patternFill>
      </fill>
    </dxf>
    <dxf>
      <font>
        <sz val="10"/>
      </font>
    </dxf>
    <dxf>
      <font>
        <sz val="10"/>
      </font>
    </dxf>
    <dxf>
      <font>
        <sz val="10"/>
      </font>
    </dxf>
    <dxf>
      <font>
        <sz val="10"/>
      </font>
    </dxf>
    <dxf>
      <font>
        <sz val="10"/>
      </font>
    </dxf>
    <dxf>
      <font>
        <sz val="10"/>
      </font>
    </dxf>
    <dxf>
      <font>
        <sz val="10"/>
      </font>
    </dxf>
    <dxf>
      <font>
        <name val="Calibri"/>
      </font>
    </dxf>
    <dxf>
      <font>
        <name val="Calibri"/>
      </font>
    </dxf>
    <dxf>
      <font>
        <name val="Calibri"/>
      </font>
    </dxf>
    <dxf>
      <font>
        <name val="Calibri"/>
      </font>
    </dxf>
    <dxf>
      <font>
        <name val="Calibri"/>
      </font>
    </dxf>
    <dxf>
      <font>
        <name val="Calibri"/>
      </font>
    </dxf>
    <dxf>
      <font>
        <name val="Calibri"/>
      </font>
    </dxf>
    <dxf>
      <numFmt numFmtId="0" formatCode="General"/>
    </dxf>
    <dxf>
      <alignment horizontal="left"/>
    </dxf>
    <dxf>
      <fill>
        <patternFill patternType="solid">
          <fgColor indexed="64"/>
          <bgColor rgb="FFE2F0D9"/>
        </patternFill>
      </fill>
    </dxf>
    <dxf>
      <font>
        <b/>
      </font>
    </dxf>
    <dxf>
      <font>
        <color rgb="FF222222"/>
      </font>
    </dxf>
    <dxf>
      <border diagonalUp="0" diagonalDown="0" outline="0">
        <left style="medium">
          <color rgb="FF70AD47"/>
        </left>
        <right style="medium">
          <color rgb="FF70AD47"/>
        </right>
        <top style="medium">
          <color rgb="FF70AD47"/>
        </top>
        <bottom style="medium">
          <color rgb="FF70AD47"/>
        </bottom>
      </border>
    </dxf>
    <dxf>
      <border diagonalUp="0" diagonalDown="0" outline="0">
        <left style="medium">
          <color rgb="FF70AD47"/>
        </left>
        <right style="medium">
          <color rgb="FF70AD47"/>
        </right>
        <top style="medium">
          <color rgb="FF70AD47"/>
        </top>
        <bottom style="medium">
          <color rgb="FF70AD47"/>
        </bottom>
      </border>
    </dxf>
    <dxf>
      <border diagonalUp="0" diagonalDown="0" outline="0">
        <left style="medium">
          <color rgb="FF70AD47"/>
        </left>
        <right style="thin">
          <color rgb="FF70AD47"/>
        </right>
        <top style="medium">
          <color rgb="FF70AD47"/>
        </top>
        <bottom style="medium">
          <color rgb="FF70AD47"/>
        </bottom>
      </border>
    </dxf>
    <dxf>
      <border diagonalUp="0" diagonalDown="0" outline="0">
        <left style="medium">
          <color rgb="FF70AD47"/>
        </left>
        <right style="thin">
          <color rgb="FF70AD47"/>
        </right>
        <top style="medium">
          <color rgb="FF70AD47"/>
        </top>
        <bottom style="medium">
          <color rgb="FF70AD47"/>
        </bottom>
      </border>
    </dxf>
    <dxf>
      <border diagonalUp="0" diagonalDown="0" outline="0">
        <left style="medium">
          <color rgb="FF70AD47"/>
        </left>
        <right style="thin">
          <color rgb="FF70AD47"/>
        </right>
        <top style="medium">
          <color rgb="FF70AD47"/>
        </top>
        <bottom style="medium">
          <color rgb="FF70AD47"/>
        </bottom>
      </border>
    </dxf>
    <dxf>
      <border diagonalUp="0" diagonalDown="0" outline="0">
        <left style="medium">
          <color rgb="FF70AD47"/>
        </left>
        <right style="thin">
          <color rgb="FF70AD47"/>
        </right>
        <top style="medium">
          <color rgb="FF70AD47"/>
        </top>
        <bottom style="medium">
          <color rgb="FF70AD47"/>
        </bottom>
      </border>
    </dxf>
    <dxf>
      <border diagonalUp="0" diagonalDown="0" outline="0">
        <left style="medium">
          <color rgb="FF70AD47"/>
        </left>
        <right style="thin">
          <color rgb="FFD9D9D9"/>
        </right>
        <top style="medium">
          <color rgb="FF70AD47"/>
        </top>
        <bottom style="medium">
          <color rgb="FF70AD47"/>
        </bottom>
      </border>
    </dxf>
    <dxf>
      <border diagonalUp="0" diagonalDown="0" outline="0">
        <left style="medium">
          <color rgb="FF70AD47"/>
        </left>
        <right style="thin">
          <color rgb="FFD9D9D9"/>
        </right>
        <top style="medium">
          <color rgb="FF70AD47"/>
        </top>
        <bottom style="medium">
          <color rgb="FF70AD47"/>
        </bottom>
      </border>
    </dxf>
    <dxf>
      <border diagonalUp="0" diagonalDown="0" outline="0">
        <left style="medium">
          <color rgb="FF70AD47"/>
        </left>
        <right style="thin">
          <color rgb="FFD9D9D9"/>
        </right>
        <top style="medium">
          <color rgb="FF70AD47"/>
        </top>
        <bottom style="medium">
          <color rgb="FF70AD47"/>
        </bottom>
      </border>
    </dxf>
    <dxf>
      <border diagonalUp="0" diagonalDown="0" outline="0">
        <left style="medium">
          <color rgb="FF70AD47"/>
        </left>
        <right style="thin">
          <color rgb="FFD9D9D9"/>
        </right>
        <top style="medium">
          <color rgb="FF70AD47"/>
        </top>
        <bottom style="medium">
          <color rgb="FF70AD47"/>
        </bottom>
      </border>
    </dxf>
    <dxf>
      <border diagonalUp="0" diagonalDown="0" outline="0">
        <left style="medium">
          <color rgb="FF70AD47"/>
        </left>
        <right style="thin">
          <color rgb="FFD9D9D9"/>
        </right>
        <top style="medium">
          <color rgb="FF70AD47"/>
        </top>
        <bottom style="medium">
          <color rgb="FF70AD47"/>
        </bottom>
      </border>
    </dxf>
    <dxf>
      <border diagonalUp="0" diagonalDown="0" outline="0">
        <left style="medium">
          <color rgb="FF70AD47"/>
        </left>
        <right style="thin">
          <color rgb="FFD9D9D9"/>
        </right>
        <top style="medium">
          <color rgb="FF70AD47"/>
        </top>
        <bottom style="medium">
          <color rgb="FF70AD47"/>
        </bottom>
      </border>
    </dxf>
    <dxf>
      <border diagonalUp="0" diagonalDown="0" outline="0">
        <left style="medium">
          <color rgb="FF70AD47"/>
        </left>
        <right style="thin">
          <color rgb="FFD9D9D9"/>
        </right>
        <top style="medium">
          <color rgb="FF70AD47"/>
        </top>
        <bottom style="medium">
          <color rgb="FF70AD47"/>
        </bottom>
      </border>
    </dxf>
    <dxf>
      <border diagonalUp="0" diagonalDown="0" outline="0">
        <left style="medium">
          <color rgb="FF70AD47"/>
        </left>
        <right style="thin">
          <color rgb="FFD9D9D9"/>
        </right>
        <top style="medium">
          <color rgb="FF70AD47"/>
        </top>
        <bottom style="medium">
          <color rgb="FF70AD47"/>
        </bottom>
      </border>
    </dxf>
    <dxf>
      <border diagonalUp="0" diagonalDown="0" outline="0">
        <left style="medium">
          <color rgb="FF70AD47"/>
        </left>
        <right style="thin">
          <color rgb="FFD9D9D9"/>
        </right>
        <top style="medium">
          <color rgb="FF70AD47"/>
        </top>
        <bottom style="thin">
          <color rgb="FF70AD47"/>
        </bottom>
      </border>
    </dxf>
    <dxf>
      <border diagonalUp="0" diagonalDown="0" outline="0">
        <left style="medium">
          <color rgb="FF70AD47"/>
        </left>
        <right style="thin">
          <color rgb="FFD9D9D9"/>
        </right>
        <top style="medium">
          <color rgb="FF70AD47"/>
        </top>
        <bottom style="thin">
          <color rgb="FF70AD47"/>
        </bottom>
      </border>
    </dxf>
    <dxf>
      <border diagonalUp="0" diagonalDown="0" outline="0">
        <left style="medium">
          <color rgb="FF70AD47"/>
        </left>
        <right style="thin">
          <color rgb="FFD9D9D9"/>
        </right>
        <top style="medium">
          <color rgb="FF70AD47"/>
        </top>
        <bottom style="thin">
          <color rgb="FF70AD47"/>
        </bottom>
      </border>
    </dxf>
    <dxf>
      <border diagonalUp="0" diagonalDown="0" outline="0">
        <left style="medium">
          <color rgb="FF70AD47"/>
        </left>
        <right style="thin">
          <color rgb="FFD9D9D9"/>
        </right>
        <top style="medium">
          <color rgb="FF70AD47"/>
        </top>
        <bottom style="thin">
          <color rgb="FF70AD47"/>
        </bottom>
      </border>
    </dxf>
    <dxf>
      <border diagonalUp="0" diagonalDown="0" outline="0">
        <left style="medium">
          <color rgb="FF70AD47"/>
        </left>
        <right style="thin">
          <color rgb="FFD9D9D9"/>
        </right>
        <top style="medium">
          <color rgb="FF70AD47"/>
        </top>
      </border>
    </dxf>
    <dxf>
      <border diagonalUp="0" diagonalDown="0" outline="0">
        <left style="medium">
          <color rgb="FF70AD47"/>
        </left>
        <right style="thin">
          <color rgb="FFD9D9D9"/>
        </right>
        <top style="medium">
          <color rgb="FF70AD47"/>
        </top>
      </border>
    </dxf>
    <dxf>
      <border diagonalUp="0" diagonalDown="0" outline="0">
        <left style="medium">
          <color rgb="FF70AD47"/>
        </left>
        <right style="thin">
          <color rgb="FFD9D9D9"/>
        </right>
        <top style="medium">
          <color rgb="FF70AD47"/>
        </top>
      </border>
    </dxf>
    <dxf>
      <border diagonalUp="0" diagonalDown="0" outline="0">
        <left style="medium">
          <color rgb="FF70AD47"/>
        </left>
        <right style="thin">
          <color rgb="FFD9D9D9"/>
        </right>
        <top style="medium">
          <color rgb="FF70AD47"/>
        </top>
      </border>
    </dxf>
    <dxf>
      <border diagonalUp="0" diagonalDown="0" outline="0">
        <left style="medium">
          <color rgb="FF70AD47"/>
        </left>
        <right style="thin">
          <color rgb="FFD9D9D9"/>
        </right>
        <top style="medium">
          <color rgb="FF70AD47"/>
        </top>
      </border>
    </dxf>
    <dxf>
      <border diagonalUp="0" diagonalDown="0" outline="0">
        <left style="medium">
          <color rgb="FF70AD47"/>
        </left>
        <right style="thin">
          <color rgb="FFD9D9D9"/>
        </right>
        <top style="medium">
          <color rgb="FF70AD47"/>
        </top>
      </border>
    </dxf>
    <dxf>
      <numFmt numFmtId="164" formatCode="0.0"/>
    </dxf>
    <dxf>
      <numFmt numFmtId="164" formatCode="0.0"/>
    </dxf>
    <dxf>
      <alignment horizontal="right"/>
    </dxf>
    <dxf>
      <alignment horizontal="right"/>
    </dxf>
    <dxf>
      <fill>
        <patternFill patternType="solid">
          <fgColor indexed="64"/>
          <bgColor rgb="FFE2F0D9"/>
        </patternFill>
      </fill>
    </dxf>
    <dxf>
      <fill>
        <patternFill patternType="solid">
          <fgColor indexed="64"/>
          <bgColor rgb="FFE2F0D9"/>
        </patternFill>
      </fill>
    </dxf>
    <dxf>
      <font>
        <strike val="0"/>
      </font>
    </dxf>
    <dxf>
      <font>
        <strike val="0"/>
      </font>
    </dxf>
    <dxf>
      <font>
        <u val="none"/>
      </font>
    </dxf>
    <dxf>
      <font>
        <u val="none"/>
      </font>
    </dxf>
    <dxf>
      <font>
        <i val="0"/>
      </font>
    </dxf>
    <dxf>
      <font>
        <i val="0"/>
      </font>
    </dxf>
    <dxf>
      <font>
        <b/>
      </font>
    </dxf>
    <dxf>
      <font>
        <b/>
      </font>
    </dxf>
    <dxf>
      <font>
        <name val="Calibri"/>
      </font>
    </dxf>
    <dxf>
      <font>
        <name val="Calibri"/>
      </font>
    </dxf>
    <dxf>
      <font>
        <sz val="10"/>
      </font>
    </dxf>
    <dxf>
      <font>
        <sz val="10"/>
      </font>
    </dxf>
    <dxf>
      <font>
        <color rgb="FF222222"/>
      </font>
    </dxf>
    <dxf>
      <font>
        <color rgb="FF222222"/>
      </font>
    </dxf>
    <dxf>
      <border diagonalUp="0" diagonalDown="0" outline="0">
        <left style="thin">
          <color rgb="FFD9D9D9"/>
        </left>
        <right style="thin">
          <color rgb="FFD9D9D9"/>
        </right>
        <top style="thin">
          <color rgb="FFD9D9D9"/>
        </top>
        <bottom style="thin">
          <color rgb="FFD9D9D9"/>
        </bottom>
      </border>
    </dxf>
    <dxf>
      <border diagonalUp="0" diagonalDown="0" outline="0">
        <left style="thin">
          <color rgb="FFD9D9D9"/>
        </left>
        <right style="medium">
          <color rgb="FFD9D9D9"/>
        </right>
        <top style="thin">
          <color rgb="FFD9D9D9"/>
        </top>
        <bottom style="thin">
          <color rgb="FFD9D9D9"/>
        </bottom>
      </border>
    </dxf>
    <dxf>
      <border diagonalUp="0" diagonalDown="0" outline="0">
        <left style="thin">
          <color rgb="FFD9D9D9"/>
        </left>
        <right style="medium">
          <color rgb="FFD9D9D9"/>
        </right>
        <top style="thin">
          <color rgb="FFD9D9D9"/>
        </top>
        <bottom style="thin">
          <color rgb="FFD9D9D9"/>
        </bottom>
      </border>
    </dxf>
    <dxf>
      <border diagonalUp="0" diagonalDown="0" outline="0">
        <left style="thin">
          <color rgb="FFD9D9D9"/>
        </left>
        <top style="thin">
          <color rgb="FFD9D9D9"/>
        </top>
        <bottom style="thin">
          <color rgb="FFD9D9D9"/>
        </bottom>
      </border>
    </dxf>
    <dxf>
      <border diagonalUp="0" diagonalDown="0" outline="0">
        <left style="thin">
          <color rgb="FFD9D9D9"/>
        </left>
        <top style="thin">
          <color rgb="FFD9D9D9"/>
        </top>
        <bottom style="thin">
          <color rgb="FFD9D9D9"/>
        </bottom>
      </border>
    </dxf>
    <dxf>
      <border diagonalUp="0" diagonalDown="0" outline="0">
        <left style="thin">
          <color rgb="FFD9D9D9"/>
        </left>
        <top style="thin">
          <color rgb="FFD9D9D9"/>
        </top>
        <bottom style="thin">
          <color rgb="FFD9D9D9"/>
        </bottom>
      </border>
    </dxf>
    <dxf>
      <border diagonalUp="0" diagonalDown="0" outline="0">
        <left style="thin">
          <color rgb="FFBFBFBF"/>
        </left>
        <top style="thin">
          <color rgb="FFD9D9D9"/>
        </top>
        <bottom style="thin">
          <color rgb="FFD9D9D9"/>
        </bottom>
      </border>
    </dxf>
    <dxf>
      <border diagonalUp="0" diagonalDown="0" outline="0">
        <left style="thin">
          <color rgb="FFBFBFBF"/>
        </left>
        <top style="thin">
          <color rgb="FFD9D9D9"/>
        </top>
        <bottom style="medium">
          <color rgb="FFD9D9D9"/>
        </bottom>
      </border>
    </dxf>
    <dxf>
      <border diagonalUp="0" diagonalDown="0" outline="0">
        <left style="thin">
          <color rgb="FFBFBFBF"/>
        </left>
        <top style="thin">
          <color rgb="FFD9D9D9"/>
        </top>
        <bottom style="medium">
          <color rgb="FFD9D9D9"/>
        </bottom>
      </border>
    </dxf>
    <dxf>
      <border diagonalUp="0" diagonalDown="0" outline="0">
        <left style="thin">
          <color rgb="FFBFBFBF"/>
        </left>
        <top style="thin">
          <color rgb="FFD9D9D9"/>
        </top>
        <bottom style="medium">
          <color rgb="FF70AD47"/>
        </bottom>
      </border>
    </dxf>
    <dxf>
      <border diagonalUp="0" diagonalDown="0" outline="0">
        <left style="thin">
          <color rgb="FFBFBFBF"/>
        </left>
        <top style="thin">
          <color rgb="FFD9D9D9"/>
        </top>
        <bottom style="medium">
          <color rgb="FF70AD47"/>
        </bottom>
      </border>
    </dxf>
    <dxf>
      <border diagonalUp="0" diagonalDown="0" outline="0">
        <left style="thin">
          <color rgb="FFBFBFBF"/>
        </left>
        <top style="thin">
          <color rgb="FFD9D9D9"/>
        </top>
        <bottom style="medium">
          <color rgb="FF70AD47"/>
        </bottom>
      </border>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alignment horizontal="right"/>
    </dxf>
    <dxf>
      <fill>
        <patternFill patternType="solid">
          <fgColor indexed="64"/>
          <bgColor rgb="FFFFFFFF"/>
        </patternFill>
      </fill>
    </dxf>
    <dxf>
      <font>
        <strike val="0"/>
      </font>
    </dxf>
    <dxf>
      <font>
        <u val="none"/>
      </font>
    </dxf>
    <dxf>
      <font>
        <i val="0"/>
      </font>
    </dxf>
    <dxf>
      <font>
        <b val="0"/>
      </font>
    </dxf>
    <dxf>
      <font>
        <name val="Calibri"/>
      </font>
    </dxf>
    <dxf>
      <font>
        <sz val="10"/>
      </font>
    </dxf>
    <dxf>
      <font>
        <color rgb="FF222222"/>
      </font>
    </dxf>
    <dxf>
      <border diagonalUp="0" diagonalDown="0" outline="0">
        <left style="medium">
          <color rgb="FF70AD47"/>
        </left>
        <right style="medium">
          <color rgb="FF70AD47"/>
        </right>
        <top style="medium">
          <color rgb="FF70AD47"/>
        </top>
        <bottom style="medium">
          <color rgb="FF70AD47"/>
        </bottom>
      </border>
    </dxf>
    <dxf>
      <border diagonalUp="0" diagonalDown="0" outline="0">
        <left style="medium">
          <color rgb="FF70AD47"/>
        </left>
        <right style="medium">
          <color rgb="FF70AD47"/>
        </right>
        <top style="medium">
          <color rgb="FF70AD47"/>
        </top>
        <bottom style="medium">
          <color rgb="FF70AD47"/>
        </bottom>
      </border>
    </dxf>
    <dxf>
      <border diagonalUp="0" diagonalDown="0" outline="0">
        <left style="medium">
          <color rgb="FF70AD47"/>
        </left>
        <right style="thin">
          <color rgb="FF70AD47"/>
        </right>
        <top style="medium">
          <color rgb="FF70AD47"/>
        </top>
        <bottom style="medium">
          <color rgb="FF70AD47"/>
        </bottom>
      </border>
    </dxf>
    <dxf>
      <border diagonalUp="0" diagonalDown="0" outline="0">
        <left style="medium">
          <color rgb="FF70AD47"/>
        </left>
        <right style="thin">
          <color rgb="FF70AD47"/>
        </right>
        <top style="medium">
          <color rgb="FF70AD47"/>
        </top>
        <bottom style="medium">
          <color rgb="FF70AD47"/>
        </bottom>
      </border>
    </dxf>
    <dxf>
      <border diagonalUp="0" diagonalDown="0" outline="0">
        <left style="medium">
          <color rgb="FF70AD47"/>
        </left>
        <right style="thin">
          <color rgb="FF70AD47"/>
        </right>
        <top style="medium">
          <color rgb="FF70AD47"/>
        </top>
        <bottom style="medium">
          <color rgb="FF70AD47"/>
        </bottom>
      </border>
    </dxf>
    <dxf>
      <border diagonalUp="0" diagonalDown="0" outline="0">
        <left style="medium">
          <color rgb="FF70AD47"/>
        </left>
        <right style="thin">
          <color rgb="FF70AD47"/>
        </right>
        <top style="medium">
          <color rgb="FF70AD47"/>
        </top>
        <bottom style="medium">
          <color rgb="FF70AD47"/>
        </bottom>
      </border>
    </dxf>
    <dxf>
      <border diagonalUp="0" diagonalDown="0" outline="0">
        <left style="medium">
          <color rgb="FF70AD47"/>
        </left>
        <right style="thin">
          <color rgb="FFBFBFBF"/>
        </right>
        <top style="medium">
          <color rgb="FF70AD47"/>
        </top>
        <bottom style="medium">
          <color rgb="FF70AD47"/>
        </bottom>
      </border>
    </dxf>
    <dxf>
      <border diagonalUp="0" diagonalDown="0" outline="0">
        <left style="medium">
          <color rgb="FF70AD47"/>
        </left>
        <right style="thin">
          <color rgb="FFBFBFBF"/>
        </right>
        <top style="medium">
          <color rgb="FF70AD47"/>
        </top>
        <bottom style="medium">
          <color rgb="FF70AD47"/>
        </bottom>
      </border>
    </dxf>
    <dxf>
      <border diagonalUp="0" diagonalDown="0" outline="0">
        <left style="thin">
          <color rgb="FF70AD47"/>
        </left>
        <right style="thin">
          <color rgb="FFBFBFBF"/>
        </right>
        <top style="medium">
          <color rgb="FF70AD47"/>
        </top>
        <bottom style="medium">
          <color rgb="FF70AD47"/>
        </bottom>
      </border>
    </dxf>
    <dxf>
      <border diagonalUp="0" diagonalDown="0" outline="0">
        <left style="thin">
          <color rgb="FF70AD47"/>
        </left>
        <right style="thin">
          <color rgb="FFBFBFBF"/>
        </right>
        <top style="medium">
          <color rgb="FF70AD47"/>
        </top>
        <bottom style="medium">
          <color rgb="FF70AD47"/>
        </bottom>
      </border>
    </dxf>
    <dxf>
      <border diagonalUp="0" diagonalDown="0" outline="0">
        <left style="thin">
          <color rgb="FF70AD47"/>
        </left>
        <right style="thin">
          <color rgb="FFBFBFBF"/>
        </right>
        <top style="medium">
          <color rgb="FF70AD47"/>
        </top>
        <bottom style="medium">
          <color rgb="FF70AD47"/>
        </bottom>
      </border>
    </dxf>
    <dxf>
      <border diagonalUp="0" diagonalDown="0" outline="0">
        <left style="thin">
          <color rgb="FF70AD47"/>
        </left>
        <right style="thin">
          <color rgb="FFBFBFBF"/>
        </right>
        <top style="medium">
          <color rgb="FF70AD47"/>
        </top>
        <bottom style="medium">
          <color rgb="FF70AD47"/>
        </bottom>
      </border>
    </dxf>
    <dxf>
      <border diagonalUp="0" diagonalDown="0" outline="0">
        <left style="thin">
          <color rgb="FFBFBFBF"/>
        </left>
        <right style="thin">
          <color rgb="FFBFBFBF"/>
        </right>
        <top style="medium">
          <color rgb="FF70AD47"/>
        </top>
        <bottom style="medium">
          <color rgb="FF70AD47"/>
        </bottom>
      </border>
    </dxf>
    <dxf>
      <border diagonalUp="0" diagonalDown="0" outline="0">
        <left style="thin">
          <color rgb="FFBFBFBF"/>
        </left>
        <right style="thin">
          <color rgb="FFBFBFBF"/>
        </right>
        <top style="medium">
          <color rgb="FF70AD47"/>
        </top>
        <bottom style="medium">
          <color rgb="FF70AD47"/>
        </bottom>
      </border>
    </dxf>
    <dxf>
      <border diagonalUp="0" diagonalDown="0" outline="0">
        <left style="thin">
          <color rgb="FFBFBFBF"/>
        </left>
        <right style="thin">
          <color rgb="FFBFBFBF"/>
        </right>
        <top style="medium">
          <color rgb="FF70AD47"/>
        </top>
        <bottom style="thin">
          <color rgb="FF70AD47"/>
        </bottom>
      </border>
    </dxf>
    <dxf>
      <border diagonalUp="0" diagonalDown="0" outline="0">
        <left style="thin">
          <color rgb="FFBFBFBF"/>
        </left>
        <right style="thin">
          <color rgb="FFBFBFBF"/>
        </right>
        <top style="medium">
          <color rgb="FF70AD47"/>
        </top>
        <bottom style="thin">
          <color rgb="FF70AD47"/>
        </bottom>
      </border>
    </dxf>
    <dxf>
      <border diagonalUp="0" diagonalDown="0" outline="0">
        <left style="thin">
          <color rgb="FFBFBFBF"/>
        </left>
        <right style="thin">
          <color rgb="FFBFBFBF"/>
        </right>
        <top style="medium">
          <color rgb="FF70AD47"/>
        </top>
        <bottom style="thin">
          <color rgb="FF70AD47"/>
        </bottom>
      </border>
    </dxf>
    <dxf>
      <border diagonalUp="0" diagonalDown="0" outline="0">
        <left style="thin">
          <color rgb="FFBFBFBF"/>
        </left>
        <right style="thin">
          <color rgb="FFBFBFBF"/>
        </right>
        <top style="medium">
          <color rgb="FF70AD47"/>
        </top>
        <bottom style="thin">
          <color rgb="FF70AD47"/>
        </bottom>
      </border>
    </dxf>
    <dxf>
      <border diagonalUp="0" diagonalDown="0" outline="0">
        <left style="thin">
          <color rgb="FFBFBFBF"/>
        </left>
        <right style="thin">
          <color rgb="FFBFBFBF"/>
        </right>
        <top style="medium">
          <color rgb="FF70AD47"/>
        </top>
        <bottom style="thin">
          <color rgb="FFBFBFBF"/>
        </bottom>
      </border>
    </dxf>
    <dxf>
      <border diagonalUp="0" diagonalDown="0" outline="0">
        <left style="thin">
          <color rgb="FFBFBFBF"/>
        </left>
        <right style="thin">
          <color rgb="FFBFBFBF"/>
        </right>
        <top style="medium">
          <color rgb="FF70AD47"/>
        </top>
        <bottom style="thin">
          <color rgb="FFBFBFBF"/>
        </bottom>
      </border>
    </dxf>
    <dxf>
      <border diagonalUp="0" diagonalDown="0" outline="0">
        <left style="thin">
          <color rgb="FFBFBFBF"/>
        </left>
        <right style="thin">
          <color rgb="FFBFBFBF"/>
        </right>
        <top style="thin">
          <color rgb="FF70AD47"/>
        </top>
        <bottom style="thin">
          <color rgb="FFBFBFBF"/>
        </bottom>
      </border>
    </dxf>
    <dxf>
      <border diagonalUp="0" diagonalDown="0" outline="0">
        <left style="thin">
          <color rgb="FFBFBFBF"/>
        </left>
        <right style="thin">
          <color rgb="FFBFBFBF"/>
        </right>
        <top style="thin">
          <color rgb="FF70AD47"/>
        </top>
        <bottom style="thin">
          <color rgb="FFBFBFBF"/>
        </bottom>
      </border>
    </dxf>
    <dxf>
      <border diagonalUp="0" diagonalDown="0" outline="0">
        <left style="thin">
          <color rgb="FFBFBFBF"/>
        </left>
        <right style="thin">
          <color rgb="FFBFBFBF"/>
        </right>
        <top style="thin">
          <color rgb="FF70AD47"/>
        </top>
        <bottom style="thin">
          <color rgb="FFBFBFBF"/>
        </bottom>
      </border>
    </dxf>
    <dxf>
      <border diagonalUp="0" diagonalDown="0" outline="0">
        <left style="thin">
          <color rgb="FFBFBFBF"/>
        </left>
        <right style="thin">
          <color rgb="FFBFBFBF"/>
        </right>
        <top style="thin">
          <color rgb="FF70AD47"/>
        </top>
        <bottom style="thin">
          <color rgb="FFBFBFBF"/>
        </bottom>
      </border>
    </dxf>
    <dxf>
      <numFmt numFmtId="0" formatCode="General"/>
    </dxf>
    <dxf>
      <numFmt numFmtId="0" formatCode="General"/>
    </dxf>
    <dxf>
      <alignment horizontal="left"/>
    </dxf>
    <dxf>
      <alignment horizontal="left"/>
    </dxf>
    <dxf>
      <fill>
        <patternFill patternType="solid">
          <fgColor indexed="64"/>
          <bgColor rgb="FFE2F0D9"/>
        </patternFill>
      </fill>
    </dxf>
    <dxf>
      <fill>
        <patternFill patternType="solid">
          <fgColor indexed="64"/>
          <bgColor rgb="FFE2F0D9"/>
        </patternFill>
      </fill>
    </dxf>
    <dxf>
      <font>
        <strike val="0"/>
      </font>
    </dxf>
    <dxf>
      <font>
        <strike val="0"/>
      </font>
    </dxf>
    <dxf>
      <font>
        <u val="none"/>
      </font>
    </dxf>
    <dxf>
      <font>
        <u val="none"/>
      </font>
    </dxf>
    <dxf>
      <font>
        <i val="0"/>
      </font>
    </dxf>
    <dxf>
      <font>
        <i val="0"/>
      </font>
    </dxf>
    <dxf>
      <font>
        <b/>
      </font>
    </dxf>
    <dxf>
      <font>
        <b/>
      </font>
    </dxf>
    <dxf>
      <font>
        <name val="Calibri"/>
      </font>
    </dxf>
    <dxf>
      <font>
        <name val="Calibri"/>
      </font>
    </dxf>
    <dxf>
      <font>
        <sz val="10"/>
      </font>
    </dxf>
    <dxf>
      <font>
        <sz val="10"/>
      </font>
    </dxf>
    <dxf>
      <font>
        <color rgb="FF222222"/>
      </font>
    </dxf>
    <dxf>
      <font>
        <color rgb="FF222222"/>
      </font>
    </dxf>
    <dxf>
      <border diagonalUp="0" diagonalDown="0" outline="0">
        <left style="thin">
          <color rgb="FFD9D9D9"/>
        </left>
        <right style="thin">
          <color rgb="FFD9D9D9"/>
        </right>
        <top style="thin">
          <color rgb="FFBFBFBF"/>
        </top>
        <bottom style="thin">
          <color rgb="FFD9D9D9"/>
        </bottom>
      </border>
    </dxf>
    <dxf>
      <border diagonalUp="0" diagonalDown="0" outline="0">
        <left style="thin">
          <color rgb="FFD9D9D9"/>
        </left>
        <right style="thin">
          <color rgb="FFD9D9D9"/>
        </right>
        <top style="thin">
          <color rgb="FFBFBFBF"/>
        </top>
        <bottom style="thin">
          <color rgb="FFD9D9D9"/>
        </bottom>
      </border>
    </dxf>
    <dxf>
      <border diagonalUp="0" diagonalDown="0" outline="0">
        <left style="thin">
          <color rgb="FFD9D9D9"/>
        </left>
        <right style="thin">
          <color rgb="FFD9D9D9"/>
        </right>
        <top style="thin">
          <color rgb="FFBFBFBF"/>
        </top>
        <bottom style="thin">
          <color rgb="FFD9D9D9"/>
        </bottom>
      </border>
    </dxf>
    <dxf>
      <border diagonalUp="0" diagonalDown="0" outline="0">
        <left style="thin">
          <color rgb="FFD9D9D9"/>
        </left>
        <right style="thin">
          <color rgb="FFD9D9D9"/>
        </right>
        <top style="thin">
          <color rgb="FFBFBFBF"/>
        </top>
        <bottom style="thin">
          <color rgb="FFD9D9D9"/>
        </bottom>
      </border>
    </dxf>
    <dxf>
      <border diagonalUp="0" diagonalDown="0" outline="0">
        <left style="thin">
          <color rgb="FFD9D9D9"/>
        </left>
        <right style="thin">
          <color rgb="FFD9D9D9"/>
        </right>
        <top style="thin">
          <color rgb="FFBFBFBF"/>
        </top>
        <bottom style="thin">
          <color rgb="FFD9D9D9"/>
        </bottom>
      </border>
    </dxf>
    <dxf>
      <border diagonalUp="0" diagonalDown="0" outline="0">
        <left style="thin">
          <color rgb="FFD9D9D9"/>
        </left>
        <right style="thin">
          <color rgb="FFD9D9D9"/>
        </right>
        <top style="thin">
          <color rgb="FFBFBFBF"/>
        </top>
        <bottom style="thin">
          <color rgb="FFD9D9D9"/>
        </bottom>
      </border>
    </dxf>
    <dxf>
      <border diagonalUp="0" diagonalDown="0" outline="0">
        <left style="thin">
          <color rgb="FFD9D9D9"/>
        </left>
        <right style="thin">
          <color rgb="FFBFBFBF"/>
        </right>
        <top style="thin">
          <color rgb="FFBFBFBF"/>
        </top>
        <bottom style="thin">
          <color rgb="FFD9D9D9"/>
        </bottom>
      </border>
    </dxf>
    <dxf>
      <border diagonalUp="0" diagonalDown="0" outline="0">
        <left style="thin">
          <color rgb="FFD9D9D9"/>
        </left>
        <right style="thin">
          <color rgb="FFBFBFBF"/>
        </right>
        <top style="thin">
          <color rgb="FFBFBFBF"/>
        </top>
        <bottom style="thin">
          <color rgb="FFD9D9D9"/>
        </bottom>
      </border>
    </dxf>
    <dxf>
      <border diagonalUp="0" diagonalDown="0" outline="0">
        <left style="thin">
          <color rgb="FFD9D9D9"/>
        </left>
        <right style="thin">
          <color rgb="FFBFBFBF"/>
        </right>
        <top style="thin">
          <color rgb="FFBFBFBF"/>
        </top>
        <bottom style="thin">
          <color rgb="FFD9D9D9"/>
        </bottom>
      </border>
    </dxf>
    <dxf>
      <border diagonalUp="0" diagonalDown="0" outline="0">
        <left style="thin">
          <color rgb="FFD9D9D9"/>
        </left>
        <right style="thin">
          <color rgb="FFBFBFBF"/>
        </right>
        <top style="thin">
          <color rgb="FFBFBFBF"/>
        </top>
        <bottom style="thin">
          <color rgb="FFD9D9D9"/>
        </bottom>
      </border>
    </dxf>
    <dxf>
      <border diagonalUp="0" diagonalDown="0" outline="0">
        <left style="thin">
          <color rgb="FFD9D9D9"/>
        </left>
        <right style="thin">
          <color rgb="FFBFBFBF"/>
        </right>
        <top style="thin">
          <color rgb="FFBFBFBF"/>
        </top>
        <bottom style="thin">
          <color rgb="FFD9D9D9"/>
        </bottom>
      </border>
    </dxf>
    <dxf>
      <border diagonalUp="0" diagonalDown="0" outline="0">
        <left style="thin">
          <color rgb="FFD9D9D9"/>
        </left>
        <right style="thin">
          <color rgb="FFBFBFBF"/>
        </right>
        <top style="thin">
          <color rgb="FFBFBFBF"/>
        </top>
        <bottom style="thin">
          <color rgb="FFD9D9D9"/>
        </bottom>
      </border>
    </dxf>
    <dxf>
      <border diagonalUp="0" diagonalDown="0" outline="0">
        <left style="thin">
          <color rgb="FFBFBFBF"/>
        </left>
        <right style="thin">
          <color rgb="FFBFBFBF"/>
        </right>
        <top style="thin">
          <color rgb="FFBFBFBF"/>
        </top>
        <bottom style="thin">
          <color rgb="FFD9D9D9"/>
        </bottom>
      </border>
    </dxf>
    <dxf>
      <border diagonalUp="0" diagonalDown="0" outline="0">
        <left style="thin">
          <color rgb="FFBFBFBF"/>
        </left>
        <right style="thin">
          <color rgb="FFBFBFBF"/>
        </right>
        <top style="thin">
          <color rgb="FFBFBFBF"/>
        </top>
        <bottom style="thin">
          <color rgb="FFD9D9D9"/>
        </bottom>
      </border>
    </dxf>
    <dxf>
      <border diagonalUp="0" diagonalDown="0" outline="0">
        <left style="thin">
          <color rgb="FFBFBFBF"/>
        </left>
        <right style="thin">
          <color rgb="FFBFBFBF"/>
        </right>
        <top style="thin">
          <color rgb="FFBFBFBF"/>
        </top>
        <bottom style="thin">
          <color rgb="FFD9D9D9"/>
        </bottom>
      </border>
    </dxf>
    <dxf>
      <border diagonalUp="0" diagonalDown="0" outline="0">
        <left style="thin">
          <color rgb="FFBFBFBF"/>
        </left>
        <right style="thin">
          <color rgb="FFBFBFBF"/>
        </right>
        <top style="thin">
          <color rgb="FFBFBFBF"/>
        </top>
        <bottom style="thin">
          <color rgb="FFD9D9D9"/>
        </bottom>
      </border>
    </dxf>
    <dxf>
      <border diagonalUp="0" diagonalDown="0" outline="0">
        <left style="thin">
          <color rgb="FFBFBFBF"/>
        </left>
        <right style="thin">
          <color rgb="FFBFBFBF"/>
        </right>
        <top style="thin">
          <color rgb="FFBFBFBF"/>
        </top>
        <bottom style="thin">
          <color rgb="FFD9D9D9"/>
        </bottom>
      </border>
    </dxf>
    <dxf>
      <border diagonalUp="0" diagonalDown="0" outline="0">
        <left style="thin">
          <color rgb="FFBFBFBF"/>
        </left>
        <right style="thin">
          <color rgb="FFBFBFBF"/>
        </right>
        <top style="thin">
          <color rgb="FFBFBFBF"/>
        </top>
        <bottom style="thin">
          <color rgb="FFD9D9D9"/>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D9D9D9"/>
        </top>
        <bottom style="thin">
          <color rgb="FFBFBFBF"/>
        </bottom>
      </border>
    </dxf>
    <dxf>
      <border diagonalUp="0" diagonalDown="0" outline="0">
        <left style="thin">
          <color rgb="FFBFBFBF"/>
        </left>
        <right style="thin">
          <color rgb="FFBFBFBF"/>
        </right>
        <top style="thin">
          <color rgb="FFD9D9D9"/>
        </top>
        <bottom style="thin">
          <color rgb="FFBFBFBF"/>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alignment horizontal="left"/>
    </dxf>
    <dxf>
      <alignment horizontal="left"/>
    </dxf>
    <dxf>
      <fill>
        <patternFill patternType="solid">
          <fgColor indexed="64"/>
          <bgColor rgb="FFFFFFFF"/>
        </patternFill>
      </fill>
    </dxf>
    <dxf>
      <fill>
        <patternFill patternType="solid">
          <fgColor indexed="64"/>
          <bgColor rgb="FFFFFFFF"/>
        </patternFill>
      </fill>
    </dxf>
    <dxf>
      <font>
        <strike val="0"/>
      </font>
    </dxf>
    <dxf>
      <font>
        <strike val="0"/>
      </font>
    </dxf>
    <dxf>
      <font>
        <u val="none"/>
      </font>
    </dxf>
    <dxf>
      <font>
        <u val="none"/>
      </font>
    </dxf>
    <dxf>
      <font>
        <i val="0"/>
      </font>
    </dxf>
    <dxf>
      <font>
        <i val="0"/>
      </font>
    </dxf>
    <dxf>
      <font>
        <b val="0"/>
      </font>
    </dxf>
    <dxf>
      <font>
        <b val="0"/>
      </font>
    </dxf>
    <dxf>
      <font>
        <name val="Calibri"/>
      </font>
    </dxf>
    <dxf>
      <font>
        <name val="Calibri"/>
      </font>
    </dxf>
    <dxf>
      <font>
        <sz val="10"/>
      </font>
    </dxf>
    <dxf>
      <font>
        <sz val="10"/>
      </font>
    </dxf>
    <dxf>
      <font>
        <color rgb="FF222222"/>
      </font>
    </dxf>
    <dxf>
      <font>
        <color rgb="FF222222"/>
      </font>
    </dxf>
    <dxf>
      <border diagonalUp="0" diagonalDown="0" outline="0">
        <left style="thin">
          <color rgb="FFBFBFBF"/>
        </left>
        <right style="thin">
          <color rgb="FFBFBFBF"/>
        </right>
        <top style="thin">
          <color rgb="FF4472C4"/>
        </top>
        <bottom style="thin">
          <color rgb="FFBFBFBF"/>
        </bottom>
      </border>
    </dxf>
    <dxf>
      <border diagonalUp="0" diagonalDown="0" outline="0">
        <left style="thin">
          <color rgb="FFBFBFBF"/>
        </left>
        <right style="thin">
          <color rgb="FFBFBFBF"/>
        </right>
        <top style="thin">
          <color rgb="FF4472C4"/>
        </top>
        <bottom style="thin">
          <color rgb="FFBFBFBF"/>
        </bottom>
      </border>
    </dxf>
    <dxf>
      <border diagonalUp="0" diagonalDown="0" outline="0">
        <left style="thin">
          <color rgb="FFBFBFBF"/>
        </left>
        <right style="thin">
          <color rgb="FFBFBFBF"/>
        </right>
        <top style="thin">
          <color rgb="FF4472C4"/>
        </top>
        <bottom style="thin">
          <color rgb="FFBFBFBF"/>
        </bottom>
      </border>
    </dxf>
    <dxf>
      <border diagonalUp="0" diagonalDown="0" outline="0">
        <left style="thin">
          <color rgb="FFBFBFBF"/>
        </left>
        <right style="thin">
          <color rgb="FFBFBFBF"/>
        </right>
        <top style="thin">
          <color rgb="FF4472C4"/>
        </top>
        <bottom style="thin">
          <color rgb="FFBFBFBF"/>
        </bottom>
      </border>
    </dxf>
    <dxf>
      <border diagonalUp="0" diagonalDown="0" outline="0">
        <left style="thin">
          <color rgb="FFBFBFBF"/>
        </left>
        <right style="thin">
          <color rgb="FFBFBFBF"/>
        </right>
        <top style="thin">
          <color rgb="FF4472C4"/>
        </top>
        <bottom style="thin">
          <color rgb="FFBFBFBF"/>
        </bottom>
      </border>
    </dxf>
    <dxf>
      <border diagonalUp="0" diagonalDown="0" outline="0">
        <left style="thin">
          <color rgb="FFBFBFBF"/>
        </left>
        <right style="thin">
          <color rgb="FFBFBFBF"/>
        </right>
        <top style="thin">
          <color rgb="FF4472C4"/>
        </top>
        <bottom style="thin">
          <color rgb="FFBFBFBF"/>
        </bottom>
      </border>
    </dxf>
    <dxf>
      <border diagonalUp="0" diagonalDown="0" outline="0">
        <left style="thin">
          <color rgb="FFBFBFBF"/>
        </left>
        <right style="thin">
          <color rgb="FFBFBFBF"/>
        </right>
        <top style="thin">
          <color rgb="FF4472C4"/>
        </top>
        <bottom style="thin">
          <color rgb="FFBFBFBF"/>
        </bottom>
      </border>
    </dxf>
    <dxf>
      <border diagonalUp="0" diagonalDown="0" outline="0">
        <left style="thin">
          <color rgb="FFBFBFBF"/>
        </left>
        <right style="thin">
          <color rgb="FFBFBFBF"/>
        </right>
        <top style="thin">
          <color rgb="FF4472C4"/>
        </top>
        <bottom style="thin">
          <color rgb="FFBFBFBF"/>
        </bottom>
      </border>
    </dxf>
    <dxf>
      <border diagonalUp="0" diagonalDown="0" outline="0">
        <left style="thin">
          <color rgb="FFBFBFBF"/>
        </left>
        <right style="thin">
          <color rgb="FFBFBFBF"/>
        </right>
        <top style="thin">
          <color rgb="FF4472C4"/>
        </top>
        <bottom style="thin">
          <color rgb="FFBFBFBF"/>
        </bottom>
      </border>
    </dxf>
    <dxf>
      <border diagonalUp="0" diagonalDown="0" outline="0">
        <left style="thin">
          <color rgb="FFBFBFBF"/>
        </left>
        <right style="thin">
          <color rgb="FFBFBFBF"/>
        </right>
        <top style="thin">
          <color rgb="FF4472C4"/>
        </top>
        <bottom style="thin">
          <color rgb="FFBFBFBF"/>
        </bottom>
      </border>
    </dxf>
    <dxf>
      <border diagonalUp="0" diagonalDown="0" outline="0">
        <left style="thin">
          <color rgb="FFBFBFBF"/>
        </left>
        <right style="thin">
          <color rgb="FFBFBFBF"/>
        </right>
        <top style="thin">
          <color rgb="FF4472C4"/>
        </top>
        <bottom style="thin">
          <color rgb="FFBFBFBF"/>
        </bottom>
      </border>
    </dxf>
    <dxf>
      <border diagonalUp="0" diagonalDown="0" outline="0">
        <left style="thin">
          <color rgb="FFBFBFBF"/>
        </left>
        <right style="thin">
          <color rgb="FFBFBFBF"/>
        </right>
        <top style="thin">
          <color rgb="FF4472C4"/>
        </top>
        <bottom style="thin">
          <color rgb="FFBFBFBF"/>
        </bottom>
      </border>
    </dxf>
    <dxf>
      <border diagonalUp="0" diagonalDown="0" outline="0">
        <left style="thin">
          <color rgb="FFBFBFBF"/>
        </left>
        <right style="thin">
          <color rgb="FFBFBFBF"/>
        </right>
        <top style="thin">
          <color rgb="FF4472C4"/>
        </top>
        <bottom style="thin">
          <color rgb="FFBFBFBF"/>
        </bottom>
      </border>
    </dxf>
    <dxf>
      <border diagonalUp="0" diagonalDown="0" outline="0">
        <left style="thin">
          <color rgb="FFBFBFBF"/>
        </left>
        <right style="thin">
          <color rgb="FFBFBFBF"/>
        </right>
        <top style="thin">
          <color rgb="FF4472C4"/>
        </top>
        <bottom style="thin">
          <color rgb="FFBFBFBF"/>
        </bottom>
      </border>
    </dxf>
    <dxf>
      <border diagonalUp="0" diagonalDown="0" outline="0">
        <left style="thin">
          <color rgb="FFBFBFBF"/>
        </left>
        <right style="thin">
          <color rgb="FFBFBFBF"/>
        </right>
        <top style="thin">
          <color rgb="FF4472C4"/>
        </top>
        <bottom style="thin">
          <color rgb="FFBFBFBF"/>
        </bottom>
      </border>
    </dxf>
    <dxf>
      <border diagonalUp="0" diagonalDown="0" outline="0">
        <left style="thin">
          <color rgb="FFBFBFBF"/>
        </left>
        <right style="thin">
          <color rgb="FFBFBFBF"/>
        </right>
        <top style="thin">
          <color rgb="FF4472C4"/>
        </top>
        <bottom style="thin">
          <color rgb="FFBFBFBF"/>
        </bottom>
      </border>
    </dxf>
    <dxf>
      <border diagonalUp="0" diagonalDown="0" outline="0">
        <left style="thin">
          <color rgb="FFBFBFBF"/>
        </left>
        <right style="thin">
          <color rgb="FFBFBFBF"/>
        </right>
        <top style="thin">
          <color rgb="FF4472C4"/>
        </top>
        <bottom style="thin">
          <color rgb="FFBFBFBF"/>
        </bottom>
      </border>
    </dxf>
    <dxf>
      <border diagonalUp="0" diagonalDown="0" outline="0">
        <left style="thin">
          <color rgb="FFBFBFBF"/>
        </left>
        <right style="thin">
          <color rgb="FFBFBFBF"/>
        </right>
        <top style="thin">
          <color rgb="FF4472C4"/>
        </top>
        <bottom style="thin">
          <color rgb="FFBFBFBF"/>
        </bottom>
      </border>
    </dxf>
    <dxf>
      <border diagonalUp="0" diagonalDown="0" outline="0">
        <left style="thin">
          <color rgb="FFBFBFBF"/>
        </left>
        <right style="thin">
          <color rgb="FFBFBFBF"/>
        </right>
        <top style="thin">
          <color rgb="FF4472C4"/>
        </top>
        <bottom style="thin">
          <color rgb="FFBFBFBF"/>
        </bottom>
      </border>
    </dxf>
    <dxf>
      <border diagonalUp="0" diagonalDown="0" outline="0">
        <left style="thin">
          <color rgb="FFBFBFBF"/>
        </left>
        <right style="thin">
          <color rgb="FFBFBFBF"/>
        </right>
        <top style="thin">
          <color rgb="FF4472C4"/>
        </top>
        <bottom style="thin">
          <color rgb="FFBFBFBF"/>
        </bottom>
      </border>
    </dxf>
    <dxf>
      <border diagonalUp="0" diagonalDown="0" outline="0">
        <left style="thin">
          <color rgb="FFBFBFBF"/>
        </left>
        <right style="thin">
          <color rgb="FFBFBFBF"/>
        </right>
        <top style="thin">
          <color rgb="FF4472C4"/>
        </top>
        <bottom style="thin">
          <color rgb="FFBFBFBF"/>
        </bottom>
      </border>
    </dxf>
    <dxf>
      <border diagonalUp="0" diagonalDown="0" outline="0">
        <left style="thin">
          <color rgb="FFBFBFBF"/>
        </left>
        <right style="thin">
          <color rgb="FFBFBFBF"/>
        </right>
        <top style="thin">
          <color rgb="FF4472C4"/>
        </top>
        <bottom style="thin">
          <color rgb="FFBFBFBF"/>
        </bottom>
      </border>
    </dxf>
    <dxf>
      <border diagonalUp="0" diagonalDown="0" outline="0">
        <left style="thin">
          <color rgb="FFBFBFBF"/>
        </left>
        <right style="thin">
          <color rgb="FFBFBFBF"/>
        </right>
        <top style="thin">
          <color rgb="FF4472C4"/>
        </top>
        <bottom style="thin">
          <color rgb="FFBFBFBF"/>
        </bottom>
      </border>
    </dxf>
    <dxf>
      <border diagonalUp="0" diagonalDown="0" outline="0">
        <left style="thin">
          <color rgb="FFBFBFBF"/>
        </left>
        <right style="thin">
          <color rgb="FFBFBFBF"/>
        </right>
        <top style="thin">
          <color rgb="FF4472C4"/>
        </top>
        <bottom style="thin">
          <color rgb="FFBFBFBF"/>
        </bottom>
      </border>
    </dxf>
    <dxf>
      <border diagonalUp="0" diagonalDown="0" outline="0">
        <left style="thin">
          <color rgb="FFBFBFBF"/>
        </left>
        <right style="thin">
          <color rgb="FFBFBFBF"/>
        </right>
        <top style="thin">
          <color rgb="FF4472C4"/>
        </top>
        <bottom style="thin">
          <color rgb="FFBFBFBF"/>
        </bottom>
      </border>
    </dxf>
    <dxf>
      <border diagonalUp="0" diagonalDown="0" outline="0">
        <left style="thin">
          <color rgb="FFBFBFBF"/>
        </left>
        <right style="thin">
          <color rgb="FFBFBFBF"/>
        </right>
        <top style="thin">
          <color rgb="FF4472C4"/>
        </top>
        <bottom style="thin">
          <color rgb="FFBFBFBF"/>
        </bottom>
      </border>
    </dxf>
    <dxf>
      <border diagonalUp="0" diagonalDown="0" outline="0">
        <left style="thin">
          <color rgb="FFBFBFBF"/>
        </left>
        <right style="thin">
          <color rgb="FFBFBFBF"/>
        </right>
        <top style="thin">
          <color rgb="FF4472C4"/>
        </top>
        <bottom style="thin">
          <color rgb="FFBFBFBF"/>
        </bottom>
      </border>
    </dxf>
    <dxf>
      <border diagonalUp="0" diagonalDown="0" outline="0">
        <left style="thin">
          <color rgb="FFBFBFBF"/>
        </left>
        <right style="thin">
          <color rgb="FFBFBFBF"/>
        </right>
        <top style="thin">
          <color rgb="FF4472C4"/>
        </top>
        <bottom style="thin">
          <color rgb="FFBFBFBF"/>
        </bottom>
      </border>
    </dxf>
    <dxf>
      <border diagonalUp="0" diagonalDown="0" outline="0">
        <left style="thin">
          <color rgb="FFBFBFBF"/>
        </left>
        <right style="thin">
          <color rgb="FFBFBFBF"/>
        </right>
        <top style="thin">
          <color rgb="FF4472C4"/>
        </top>
        <bottom style="thin">
          <color rgb="FFBFBFBF"/>
        </bottom>
      </border>
    </dxf>
    <dxf>
      <border diagonalUp="0" diagonalDown="0" outline="0">
        <left style="thin">
          <color rgb="FFBFBFBF"/>
        </left>
        <right style="thin">
          <color rgb="FFBFBFBF"/>
        </right>
        <top style="thin">
          <color rgb="FF4472C4"/>
        </top>
        <bottom style="thin">
          <color rgb="FFBFBFBF"/>
        </bottom>
      </border>
    </dxf>
    <dxf>
      <border diagonalUp="0" diagonalDown="0" outline="0">
        <left style="thin">
          <color rgb="FFBFBFBF"/>
        </left>
        <right style="thin">
          <color rgb="FFBFBFBF"/>
        </right>
        <top style="thin">
          <color rgb="FF4472C4"/>
        </top>
        <bottom style="thin">
          <color rgb="FFBFBFBF"/>
        </bottom>
      </border>
    </dxf>
    <dxf>
      <border diagonalUp="0" diagonalDown="0" outline="0">
        <left style="thin">
          <color rgb="FFBFBFBF"/>
        </left>
        <right style="thin">
          <color rgb="FFBFBFBF"/>
        </right>
        <top style="thin">
          <color rgb="FF4472C4"/>
        </top>
        <bottom style="thin">
          <color rgb="FFBFBFBF"/>
        </bottom>
      </border>
    </dxf>
    <dxf>
      <border diagonalUp="0" diagonalDown="0" outline="0">
        <left style="thin">
          <color rgb="FFBFBFBF"/>
        </left>
        <right style="thin">
          <color rgb="FFBFBFBF"/>
        </right>
        <top style="thin">
          <color rgb="FF4472C4"/>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numFmt numFmtId="0" formatCode="General"/>
    </dxf>
    <dxf>
      <numFmt numFmtId="0" formatCode="General"/>
    </dxf>
    <dxf>
      <numFmt numFmtId="0" formatCode="General"/>
    </dxf>
    <dxf>
      <alignment horizontal="center"/>
    </dxf>
    <dxf>
      <alignment horizontal="center"/>
    </dxf>
    <dxf>
      <alignment horizontal="center"/>
    </dxf>
    <dxf>
      <fill>
        <patternFill patternType="solid">
          <fgColor indexed="64"/>
          <bgColor rgb="FFD9EAF7"/>
        </patternFill>
      </fill>
    </dxf>
    <dxf>
      <fill>
        <patternFill patternType="solid">
          <fgColor indexed="64"/>
          <bgColor rgb="FFD9EAF7"/>
        </patternFill>
      </fill>
    </dxf>
    <dxf>
      <fill>
        <patternFill patternType="solid">
          <fgColor indexed="64"/>
          <bgColor rgb="FFD9EAF7"/>
        </patternFill>
      </fill>
    </dxf>
    <dxf>
      <font>
        <strike val="0"/>
      </font>
    </dxf>
    <dxf>
      <font>
        <strike val="0"/>
      </font>
    </dxf>
    <dxf>
      <font>
        <strike val="0"/>
      </font>
    </dxf>
    <dxf>
      <font>
        <u val="none"/>
      </font>
    </dxf>
    <dxf>
      <font>
        <u val="none"/>
      </font>
    </dxf>
    <dxf>
      <font>
        <u val="none"/>
      </font>
    </dxf>
    <dxf>
      <font>
        <i val="0"/>
      </font>
    </dxf>
    <dxf>
      <font>
        <i val="0"/>
      </font>
    </dxf>
    <dxf>
      <font>
        <i val="0"/>
      </font>
    </dxf>
    <dxf>
      <font>
        <b/>
      </font>
    </dxf>
    <dxf>
      <font>
        <b/>
      </font>
    </dxf>
    <dxf>
      <font>
        <b/>
      </font>
    </dxf>
    <dxf>
      <font>
        <name val="Calibri"/>
      </font>
    </dxf>
    <dxf>
      <font>
        <name val="Calibri"/>
      </font>
    </dxf>
    <dxf>
      <font>
        <name val="Calibri"/>
      </font>
    </dxf>
    <dxf>
      <font>
        <sz val="10"/>
      </font>
    </dxf>
    <dxf>
      <font>
        <sz val="10"/>
      </font>
    </dxf>
    <dxf>
      <font>
        <sz val="10"/>
      </font>
    </dxf>
    <dxf>
      <font>
        <color rgb="FF1F4E79"/>
      </font>
    </dxf>
    <dxf>
      <font>
        <color rgb="FF1F4E79"/>
      </font>
    </dxf>
    <dxf>
      <font>
        <color rgb="FF1F4E79"/>
      </font>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font>
        <b/>
      </font>
    </dxf>
    <dxf>
      <font>
        <b/>
      </font>
    </dxf>
    <dxf>
      <fill>
        <patternFill patternType="solid">
          <fgColor indexed="64"/>
          <bgColor rgb="FFE2F0D9"/>
        </patternFill>
      </fill>
    </dxf>
    <dxf>
      <fill>
        <patternFill patternType="solid">
          <fgColor indexed="64"/>
          <bgColor rgb="FFE2F0D9"/>
        </patternFill>
      </fill>
    </dxf>
    <dxf>
      <font>
        <color rgb="FF222222"/>
      </font>
    </dxf>
    <dxf>
      <font>
        <color rgb="FF222222"/>
      </font>
    </dxf>
    <dxf>
      <fill>
        <patternFill patternType="solid">
          <fgColor indexed="64"/>
          <bgColor rgb="FFFFFFFF"/>
        </patternFill>
      </fill>
    </dxf>
    <dxf>
      <fill>
        <patternFill patternType="solid">
          <fgColor indexed="64"/>
          <bgColor rgb="FFFFFFFF"/>
        </patternFill>
      </fill>
    </dxf>
    <dxf>
      <alignment horizontal="center"/>
    </dxf>
    <dxf>
      <alignment horizontal="center"/>
    </dxf>
    <dxf>
      <alignment horizontal="center"/>
    </dxf>
    <dxf>
      <font>
        <b/>
      </font>
    </dxf>
    <dxf>
      <font>
        <b/>
      </font>
    </dxf>
    <dxf>
      <font>
        <b/>
      </font>
    </dxf>
    <dxf>
      <font>
        <color rgb="FF1F4E79"/>
      </font>
    </dxf>
    <dxf>
      <font>
        <color rgb="FF1F4E79"/>
      </font>
    </dxf>
    <dxf>
      <font>
        <color rgb="FF1F4E79"/>
      </font>
    </dxf>
    <dxf>
      <fill>
        <patternFill patternType="solid">
          <fgColor indexed="64"/>
          <bgColor rgb="FFD9EAF7"/>
        </patternFill>
      </fill>
    </dxf>
    <dxf>
      <fill>
        <patternFill patternType="solid">
          <fgColor indexed="64"/>
          <bgColor rgb="FFD9EAF7"/>
        </patternFill>
      </fill>
    </dxf>
    <dxf>
      <fill>
        <patternFill patternType="solid">
          <fgColor indexed="64"/>
          <bgColor rgb="FFD9EAF7"/>
        </patternFill>
      </fill>
    </dxf>
    <dxf>
      <font>
        <sz val="10"/>
      </font>
    </dxf>
    <dxf>
      <font>
        <sz val="10"/>
      </font>
    </dxf>
    <dxf>
      <font>
        <sz val="10"/>
      </font>
    </dxf>
    <dxf>
      <font>
        <sz val="10"/>
      </font>
    </dxf>
    <dxf>
      <font>
        <sz val="10"/>
      </font>
    </dxf>
    <dxf>
      <font>
        <sz val="10"/>
      </font>
    </dxf>
    <dxf>
      <font>
        <sz val="10"/>
      </font>
    </dxf>
    <dxf>
      <font>
        <name val="Calibri"/>
      </font>
    </dxf>
    <dxf>
      <font>
        <name val="Calibri"/>
      </font>
    </dxf>
    <dxf>
      <font>
        <name val="Calibri"/>
      </font>
    </dxf>
    <dxf>
      <font>
        <name val="Calibri"/>
      </font>
    </dxf>
    <dxf>
      <font>
        <name val="Calibri"/>
      </font>
    </dxf>
    <dxf>
      <font>
        <name val="Calibri"/>
      </font>
    </dxf>
    <dxf>
      <font>
        <name val="Calibri"/>
      </font>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auto="1"/>
        </right>
        <top style="thin">
          <color rgb="FFBFBFBF"/>
        </top>
        <bottom style="thin">
          <color rgb="FFBFBFBF"/>
        </bottom>
      </border>
    </dxf>
    <dxf>
      <border diagonalUp="0" diagonalDown="0" outline="0">
        <left style="thin">
          <color rgb="FFBFBFBF"/>
        </left>
        <right style="thin">
          <color auto="1"/>
        </right>
        <top style="thin">
          <color rgb="FFBFBFBF"/>
        </top>
        <bottom style="thin">
          <color rgb="FFBFBFBF"/>
        </bottom>
      </border>
    </dxf>
    <dxf>
      <border diagonalUp="0" diagonalDown="0" outline="0">
        <left style="thin">
          <color rgb="FFBFBFBF"/>
        </left>
        <right style="thin">
          <color auto="1"/>
        </right>
        <top style="thin">
          <color rgb="FFBFBFBF"/>
        </top>
        <bottom style="thin">
          <color rgb="FFBFBFBF"/>
        </bottom>
      </border>
    </dxf>
    <dxf>
      <border diagonalUp="0" diagonalDown="0" outline="0">
        <left style="thin">
          <color rgb="FFBFBFBF"/>
        </left>
        <right style="thin">
          <color auto="1"/>
        </right>
        <top style="thin">
          <color rgb="FFBFBFBF"/>
        </top>
        <bottom style="thin">
          <color rgb="FFBFBFBF"/>
        </bottom>
      </border>
    </dxf>
    <dxf>
      <border diagonalUp="0" diagonalDown="0" outline="0">
        <left style="thin">
          <color rgb="FFBFBFBF"/>
        </left>
        <right style="thin">
          <color auto="1"/>
        </right>
        <top style="thin">
          <color rgb="FFBFBFBF"/>
        </top>
        <bottom style="thin">
          <color rgb="FFBFBFBF"/>
        </bottom>
      </border>
    </dxf>
    <dxf>
      <border diagonalUp="0" diagonalDown="0" outline="0">
        <left style="thin">
          <color rgb="FFBFBFBF"/>
        </left>
        <right style="thin">
          <color auto="1"/>
        </right>
        <top style="thin">
          <color rgb="FFBFBFBF"/>
        </top>
        <bottom style="thin">
          <color rgb="FFBFBFBF"/>
        </bottom>
      </border>
    </dxf>
    <dxf>
      <border diagonalUp="0" diagonalDown="0" outline="0">
        <left style="thin">
          <color rgb="FFBFBFBF"/>
        </left>
        <right style="thin">
          <color auto="1"/>
        </right>
        <top style="thin">
          <color rgb="FFBFBFBF"/>
        </top>
        <bottom style="thin">
          <color rgb="FFBFBFBF"/>
        </bottom>
      </border>
    </dxf>
    <dxf>
      <border diagonalUp="0" diagonalDown="0" outline="0">
        <left style="thin">
          <color rgb="FFBFBFBF"/>
        </left>
        <right style="thin">
          <color auto="1"/>
        </right>
        <top style="thin">
          <color rgb="FFBFBFBF"/>
        </top>
        <bottom style="thin">
          <color rgb="FFBFBFBF"/>
        </bottom>
      </border>
    </dxf>
    <dxf>
      <border diagonalUp="0" diagonalDown="0" outline="0">
        <left style="thin">
          <color rgb="FFBFBFBF"/>
        </left>
        <right style="thin">
          <color auto="1"/>
        </right>
        <top style="thin">
          <color rgb="FFBFBFBF"/>
        </top>
        <bottom style="thin">
          <color rgb="FFBFBFBF"/>
        </bottom>
      </border>
    </dxf>
    <dxf>
      <border diagonalUp="0" diagonalDown="0" outline="0">
        <left style="thin">
          <color rgb="FFBFBFBF"/>
        </left>
        <right style="thin">
          <color auto="1"/>
        </right>
        <top style="thin">
          <color rgb="FFBFBFBF"/>
        </top>
        <bottom style="thin">
          <color rgb="FFBFBFBF"/>
        </bottom>
      </border>
    </dxf>
    <dxf>
      <border diagonalUp="0" diagonalDown="0" outline="0">
        <left style="thin">
          <color rgb="FFBFBFBF"/>
        </left>
        <right style="thin">
          <color auto="1"/>
        </right>
        <top style="thin">
          <color rgb="FFBFBFBF"/>
        </top>
        <bottom style="thin">
          <color rgb="FFBFBFBF"/>
        </bottom>
      </border>
    </dxf>
    <dxf>
      <border diagonalUp="0" diagonalDown="0" outline="0">
        <left style="thin">
          <color rgb="FFBFBFBF"/>
        </left>
        <right style="thin">
          <color auto="1"/>
        </right>
        <top style="thin">
          <color rgb="FFBFBFBF"/>
        </top>
        <bottom style="thin">
          <color rgb="FFBFBFBF"/>
        </bottom>
      </border>
    </dxf>
    <dxf>
      <border diagonalUp="0" diagonalDown="0" outline="0">
        <left style="thin">
          <color rgb="FFBFBFBF"/>
        </left>
        <right style="thin">
          <color auto="1"/>
        </right>
        <top style="thin">
          <color rgb="FFBFBFBF"/>
        </top>
        <bottom style="thin">
          <color rgb="FFBFBFBF"/>
        </bottom>
      </border>
    </dxf>
    <dxf>
      <border diagonalUp="0" diagonalDown="0" outline="0">
        <left style="thin">
          <color rgb="FFBFBFBF"/>
        </left>
        <right style="thin">
          <color auto="1"/>
        </right>
        <top style="thin">
          <color rgb="FFBFBFBF"/>
        </top>
        <bottom style="thin">
          <color rgb="FFBFBFBF"/>
        </bottom>
      </border>
    </dxf>
    <dxf>
      <border diagonalUp="0" diagonalDown="0" outline="0">
        <left style="thin">
          <color rgb="FFBFBFBF"/>
        </left>
        <right/>
        <top style="thin">
          <color rgb="FFBFBFBF"/>
        </top>
        <bottom style="thin">
          <color rgb="FFBFBFBF"/>
        </bottom>
      </border>
    </dxf>
    <dxf>
      <border diagonalUp="0" diagonalDown="0" outline="0">
        <left style="thin">
          <color rgb="FFBFBFBF"/>
        </left>
        <right/>
        <top style="thin">
          <color rgb="FFBFBFBF"/>
        </top>
        <bottom style="thin">
          <color rgb="FFBFBFBF"/>
        </bottom>
      </border>
    </dxf>
    <dxf>
      <border diagonalUp="0" diagonalDown="0" outline="0">
        <left style="thin">
          <color rgb="FFBFBFBF"/>
        </left>
        <right/>
        <top style="thin">
          <color rgb="FFBFBFBF"/>
        </top>
        <bottom style="thin">
          <color rgb="FFBFBFBF"/>
        </bottom>
      </border>
    </dxf>
    <dxf>
      <border diagonalUp="0" diagonalDown="0" outline="0">
        <left style="thin">
          <color rgb="FFBFBFBF"/>
        </left>
        <right/>
        <top style="thin">
          <color rgb="FFBFBFBF"/>
        </top>
        <bottom style="thin">
          <color rgb="FFBFBFBF"/>
        </bottom>
      </border>
    </dxf>
    <dxf>
      <border diagonalUp="0" diagonalDown="0" outline="0">
        <left style="thin">
          <color rgb="FFBFBFBF"/>
        </left>
        <right/>
        <top style="thin">
          <color rgb="FFBFBFBF"/>
        </top>
        <bottom style="thin">
          <color rgb="FFBFBFBF"/>
        </bottom>
      </border>
    </dxf>
    <dxf>
      <border diagonalUp="0" diagonalDown="0" outline="0">
        <left style="thin">
          <color rgb="FFBFBFBF"/>
        </left>
        <right/>
        <top style="thin">
          <color rgb="FFBFBFBF"/>
        </top>
        <bottom style="thin">
          <color rgb="FFBFBFBF"/>
        </bottom>
      </border>
    </dxf>
    <dxf>
      <border diagonalUp="0" diagonalDown="0" outline="0">
        <left style="thin">
          <color rgb="FFBFBFBF"/>
        </left>
        <right/>
        <top style="thin">
          <color rgb="FFBFBFBF"/>
        </top>
        <bottom style="thin">
          <color rgb="FFBFBFBF"/>
        </bottom>
      </border>
    </dxf>
    <dxf>
      <border diagonalUp="0" diagonalDown="0" outline="0">
        <left style="thin">
          <color indexed="64"/>
        </left>
        <right/>
        <top style="thin">
          <color rgb="FFBFBFBF"/>
        </top>
        <bottom style="thin">
          <color rgb="FFBFBFBF"/>
        </bottom>
      </border>
    </dxf>
    <dxf>
      <border diagonalUp="0" diagonalDown="0" outline="0">
        <left style="thin">
          <color indexed="64"/>
        </left>
        <right/>
        <top style="thin">
          <color rgb="FFBFBFBF"/>
        </top>
        <bottom style="thin">
          <color rgb="FFBFBFBF"/>
        </bottom>
      </border>
    </dxf>
    <dxf>
      <border diagonalUp="0" diagonalDown="0" outline="0">
        <left style="thin">
          <color indexed="64"/>
        </left>
        <right/>
        <top style="thin">
          <color rgb="FFBFBFBF"/>
        </top>
        <bottom style="thin">
          <color rgb="FFBFBFBF"/>
        </bottom>
      </border>
    </dxf>
    <dxf>
      <border diagonalUp="0" diagonalDown="0" outline="0">
        <left style="thin">
          <color indexed="64"/>
        </left>
        <right/>
        <top style="thin">
          <color rgb="FFBFBFBF"/>
        </top>
        <bottom style="thin">
          <color rgb="FFBFBFBF"/>
        </bottom>
      </border>
    </dxf>
    <dxf>
      <border diagonalUp="0" diagonalDown="0" outline="0">
        <left style="thin">
          <color indexed="64"/>
        </left>
        <right/>
        <top style="thin">
          <color rgb="FFBFBFBF"/>
        </top>
        <bottom style="thin">
          <color rgb="FFBFBFBF"/>
        </bottom>
      </border>
    </dxf>
    <dxf>
      <border diagonalUp="0" diagonalDown="0" outline="0">
        <left style="thin">
          <color indexed="64"/>
        </left>
        <right/>
        <top style="thin">
          <color rgb="FFBFBFBF"/>
        </top>
        <bottom style="thin">
          <color rgb="FFBFBFBF"/>
        </bottom>
      </border>
    </dxf>
    <dxf>
      <border diagonalUp="0" diagonalDown="0" outline="0">
        <left style="thin">
          <color indexed="64"/>
        </left>
        <right/>
        <top style="thin">
          <color rgb="FFBFBFBF"/>
        </top>
        <bottom style="thin">
          <color rgb="FFBFBFBF"/>
        </bottom>
      </border>
    </dxf>
    <dxf>
      <border diagonalUp="0" diagonalDown="0" outline="0">
        <left style="thin">
          <color auto="1"/>
        </left>
        <right/>
        <top style="thin">
          <color rgb="FFBFBFBF"/>
        </top>
        <bottom style="thin">
          <color rgb="FFBFBFBF"/>
        </bottom>
      </border>
    </dxf>
    <dxf>
      <border diagonalUp="0" diagonalDown="0" outline="0">
        <left style="thin">
          <color auto="1"/>
        </left>
        <right/>
        <top style="thin">
          <color rgb="FFBFBFBF"/>
        </top>
        <bottom style="thin">
          <color rgb="FFBFBFBF"/>
        </bottom>
      </border>
    </dxf>
    <dxf>
      <border diagonalUp="0" diagonalDown="0" outline="0">
        <left style="thin">
          <color auto="1"/>
        </left>
        <right/>
        <top style="thin">
          <color rgb="FFBFBFBF"/>
        </top>
        <bottom style="thin">
          <color rgb="FFBFBFBF"/>
        </bottom>
      </border>
    </dxf>
    <dxf>
      <border diagonalUp="0" diagonalDown="0" outline="0">
        <left style="thin">
          <color auto="1"/>
        </left>
        <right/>
        <top style="thin">
          <color rgb="FFBFBFBF"/>
        </top>
        <bottom style="thin">
          <color rgb="FFBFBFBF"/>
        </bottom>
      </border>
    </dxf>
    <dxf>
      <border diagonalUp="0" diagonalDown="0" outline="0">
        <left style="thin">
          <color auto="1"/>
        </left>
        <right/>
        <top style="thin">
          <color rgb="FFBFBFBF"/>
        </top>
        <bottom style="thin">
          <color rgb="FFBFBFBF"/>
        </bottom>
      </border>
    </dxf>
    <dxf>
      <border diagonalUp="0" diagonalDown="0" outline="0">
        <left style="thin">
          <color auto="1"/>
        </left>
        <right/>
        <top style="thin">
          <color rgb="FFBFBFBF"/>
        </top>
        <bottom style="thin">
          <color rgb="FFBFBFBF"/>
        </bottom>
      </border>
    </dxf>
    <dxf>
      <border diagonalUp="0" diagonalDown="0" outline="0">
        <left style="thin">
          <color auto="1"/>
        </left>
        <right/>
        <top style="thin">
          <color rgb="FFBFBFBF"/>
        </top>
        <bottom style="thin">
          <color rgb="FFBFBFBF"/>
        </bottom>
      </border>
    </dxf>
    <dxf>
      <border diagonalUp="0" diagonalDown="0" outline="0">
        <left/>
        <right/>
        <top style="thin">
          <color rgb="FFBFBFBF"/>
        </top>
        <bottom style="thin">
          <color rgb="FFBFBFBF"/>
        </bottom>
      </border>
    </dxf>
    <dxf>
      <border diagonalUp="0" diagonalDown="0" outline="0">
        <left/>
        <right/>
        <top style="thin">
          <color rgb="FFBFBFBF"/>
        </top>
        <bottom style="thin">
          <color rgb="FFBFBFBF"/>
        </bottom>
      </border>
    </dxf>
    <dxf>
      <border diagonalUp="0" diagonalDown="0" outline="0">
        <left/>
        <right/>
        <top style="thin">
          <color rgb="FFBFBFBF"/>
        </top>
        <bottom style="thin">
          <color rgb="FFBFBFBF"/>
        </bottom>
      </border>
    </dxf>
    <dxf>
      <border diagonalUp="0" diagonalDown="0" outline="0">
        <left/>
        <right/>
        <top style="thin">
          <color rgb="FFBFBFBF"/>
        </top>
        <bottom style="thin">
          <color rgb="FFBFBFBF"/>
        </bottom>
      </border>
    </dxf>
    <dxf>
      <border diagonalUp="0" diagonalDown="0" outline="0">
        <left/>
        <right/>
        <top style="thin">
          <color rgb="FFBFBFBF"/>
        </top>
        <bottom style="thin">
          <color rgb="FFBFBFBF"/>
        </bottom>
      </border>
    </dxf>
    <dxf>
      <border diagonalUp="0" diagonalDown="0" outline="0">
        <left/>
        <right/>
        <top style="thin">
          <color rgb="FFBFBFBF"/>
        </top>
        <bottom style="thin">
          <color rgb="FFBFBFBF"/>
        </bottom>
      </border>
    </dxf>
    <dxf>
      <border diagonalUp="0" diagonalDown="0" outline="0">
        <left/>
        <right/>
        <top style="thin">
          <color rgb="FFBFBFBF"/>
        </top>
        <bottom style="thin">
          <color rgb="FFBFBFBF"/>
        </bottom>
      </border>
    </dxf>
    <dxf>
      <border diagonalUp="0" diagonalDown="0" outline="0">
        <left/>
        <right/>
        <top style="thin">
          <color rgb="FFBFBFBF"/>
        </top>
        <bottom style="thin">
          <color indexed="64"/>
        </bottom>
      </border>
    </dxf>
    <dxf>
      <border diagonalUp="0" diagonalDown="0" outline="0">
        <left/>
        <right/>
        <top style="thin">
          <color rgb="FFBFBFBF"/>
        </top>
        <bottom style="thin">
          <color indexed="64"/>
        </bottom>
      </border>
    </dxf>
    <dxf>
      <border diagonalUp="0" diagonalDown="0" outline="0">
        <left/>
        <right/>
        <top style="thin">
          <color rgb="FFBFBFBF"/>
        </top>
        <bottom style="thin">
          <color indexed="64"/>
        </bottom>
      </border>
    </dxf>
    <dxf>
      <border diagonalUp="0" diagonalDown="0" outline="0">
        <left/>
        <right/>
        <top style="thin">
          <color rgb="FFBFBFBF"/>
        </top>
        <bottom style="thin">
          <color indexed="64"/>
        </bottom>
      </border>
    </dxf>
    <dxf>
      <border diagonalUp="0" diagonalDown="0" outline="0">
        <left/>
        <right/>
        <top style="thin">
          <color rgb="FFBFBFBF"/>
        </top>
        <bottom style="thin">
          <color indexed="64"/>
        </bottom>
      </border>
    </dxf>
    <dxf>
      <border diagonalUp="0" diagonalDown="0" outline="0">
        <left/>
        <right/>
        <top style="thin">
          <color rgb="FFBFBFBF"/>
        </top>
        <bottom style="thin">
          <color indexed="64"/>
        </bottom>
      </border>
    </dxf>
    <dxf>
      <border diagonalUp="0" diagonalDown="0" outline="0">
        <left/>
        <right/>
        <top style="thin">
          <color rgb="FFBFBFBF"/>
        </top>
        <bottom style="thin">
          <color indexed="64"/>
        </bottom>
      </border>
    </dxf>
    <dxf>
      <border diagonalUp="0" diagonalDown="0" outline="0">
        <left/>
        <right/>
        <top style="thin">
          <color rgb="FFBFBFBF"/>
        </top>
        <bottom style="thin">
          <color auto="1"/>
        </bottom>
      </border>
    </dxf>
    <dxf>
      <border diagonalUp="0" diagonalDown="0" outline="0">
        <left/>
        <right/>
        <top style="thin">
          <color rgb="FFBFBFBF"/>
        </top>
        <bottom style="thin">
          <color auto="1"/>
        </bottom>
      </border>
    </dxf>
    <dxf>
      <border diagonalUp="0" diagonalDown="0" outline="0">
        <left/>
        <right/>
        <top style="thin">
          <color rgb="FFBFBFBF"/>
        </top>
        <bottom style="thin">
          <color auto="1"/>
        </bottom>
      </border>
    </dxf>
    <dxf>
      <border diagonalUp="0" diagonalDown="0" outline="0">
        <left/>
        <right/>
        <top style="thin">
          <color rgb="FFBFBFBF"/>
        </top>
        <bottom style="thin">
          <color auto="1"/>
        </bottom>
      </border>
    </dxf>
    <dxf>
      <border diagonalUp="0" diagonalDown="0" outline="0">
        <left/>
        <right/>
        <top style="thin">
          <color rgb="FFBFBFBF"/>
        </top>
        <bottom style="thin">
          <color auto="1"/>
        </bottom>
      </border>
    </dxf>
    <dxf>
      <border diagonalUp="0" diagonalDown="0" outline="0">
        <left/>
        <right/>
        <top style="thin">
          <color rgb="FFBFBFBF"/>
        </top>
        <bottom style="thin">
          <color auto="1"/>
        </bottom>
      </border>
    </dxf>
    <dxf>
      <border diagonalUp="0" diagonalDown="0" outline="0">
        <left/>
        <right/>
        <top style="thin">
          <color rgb="FFBFBFBF"/>
        </top>
        <bottom style="thin">
          <color auto="1"/>
        </bottom>
      </border>
    </dxf>
    <dxf>
      <border diagonalUp="0" diagonalDown="0" outline="0">
        <left/>
        <right/>
        <top style="thin">
          <color rgb="FFBFBFBF"/>
        </top>
        <bottom/>
      </border>
    </dxf>
    <dxf>
      <border diagonalUp="0" diagonalDown="0" outline="0">
        <left/>
        <right/>
        <top style="thin">
          <color rgb="FFBFBFBF"/>
        </top>
        <bottom/>
      </border>
    </dxf>
    <dxf>
      <border diagonalUp="0" diagonalDown="0" outline="0">
        <left/>
        <right/>
        <top style="thin">
          <color rgb="FFBFBFBF"/>
        </top>
        <bottom/>
      </border>
    </dxf>
    <dxf>
      <border diagonalUp="0" diagonalDown="0" outline="0">
        <left/>
        <right/>
        <top style="thin">
          <color rgb="FFBFBFBF"/>
        </top>
        <bottom/>
      </border>
    </dxf>
    <dxf>
      <border diagonalUp="0" diagonalDown="0" outline="0">
        <left/>
        <right/>
        <top style="thin">
          <color rgb="FFBFBFBF"/>
        </top>
        <bottom/>
      </border>
    </dxf>
    <dxf>
      <border diagonalUp="0" diagonalDown="0" outline="0">
        <left/>
        <right/>
        <top style="thin">
          <color rgb="FFBFBFBF"/>
        </top>
        <bottom/>
      </border>
    </dxf>
    <dxf>
      <border diagonalUp="0" diagonalDown="0" outline="0">
        <left/>
        <right/>
        <top style="thin">
          <color rgb="FFBFBFBF"/>
        </top>
        <bottom/>
      </border>
    </dxf>
    <dxf>
      <border diagonalUp="0" diagonalDown="0" outline="0">
        <left/>
        <right/>
        <top style="thin">
          <color indexed="64"/>
        </top>
        <bottom/>
      </border>
    </dxf>
    <dxf>
      <border diagonalUp="0" diagonalDown="0" outline="0">
        <left/>
        <right/>
        <top style="thin">
          <color indexed="64"/>
        </top>
        <bottom/>
      </border>
    </dxf>
    <dxf>
      <border diagonalUp="0" diagonalDown="0" outline="0">
        <left/>
        <right/>
        <top style="thin">
          <color indexed="64"/>
        </top>
        <bottom/>
      </border>
    </dxf>
    <dxf>
      <border diagonalUp="0" diagonalDown="0" outline="0">
        <left/>
        <right/>
        <top style="thin">
          <color indexed="64"/>
        </top>
        <bottom/>
      </border>
    </dxf>
    <dxf>
      <border diagonalUp="0" diagonalDown="0" outline="0">
        <left/>
        <right/>
        <top style="thin">
          <color indexed="64"/>
        </top>
        <bottom/>
      </border>
    </dxf>
    <dxf>
      <border diagonalUp="0" diagonalDown="0" outline="0">
        <left/>
        <right/>
        <top style="thin">
          <color indexed="64"/>
        </top>
        <bottom/>
      </border>
    </dxf>
    <dxf>
      <border diagonalUp="0" diagonalDown="0" outline="0">
        <left/>
        <right/>
        <top style="thin">
          <color indexed="64"/>
        </top>
        <bottom/>
      </border>
    </dxf>
    <dxf>
      <border diagonalUp="0" diagonalDown="0" outline="0">
        <left/>
        <right/>
        <top style="thin">
          <color auto="1"/>
        </top>
        <bottom/>
      </border>
    </dxf>
    <dxf>
      <border diagonalUp="0" diagonalDown="0" outline="0">
        <left/>
        <right/>
        <top style="thin">
          <color auto="1"/>
        </top>
        <bottom/>
      </border>
    </dxf>
    <dxf>
      <border diagonalUp="0" diagonalDown="0" outline="0">
        <left/>
        <right/>
        <top style="thin">
          <color auto="1"/>
        </top>
        <bottom/>
      </border>
    </dxf>
    <dxf>
      <border diagonalUp="0" diagonalDown="0" outline="0">
        <left/>
        <right/>
        <top style="thin">
          <color auto="1"/>
        </top>
        <bottom/>
      </border>
    </dxf>
    <dxf>
      <border diagonalUp="0" diagonalDown="0" outline="0">
        <left/>
        <right/>
        <top style="thin">
          <color auto="1"/>
        </top>
        <bottom/>
      </border>
    </dxf>
    <dxf>
      <border diagonalUp="0" diagonalDown="0" outline="0">
        <left/>
        <right/>
        <top style="thin">
          <color auto="1"/>
        </top>
        <bottom/>
      </border>
    </dxf>
    <dxf>
      <border diagonalUp="0" diagonalDown="0" outline="0">
        <left/>
        <right/>
        <top style="thin">
          <color auto="1"/>
        </top>
        <bottom/>
      </border>
    </dxf>
    <dxf>
      <font>
        <b/>
      </font>
    </dxf>
    <dxf>
      <font>
        <b/>
      </font>
    </dxf>
    <dxf>
      <font>
        <color rgb="FF222222"/>
      </font>
    </dxf>
    <dxf>
      <font>
        <color rgb="FF222222"/>
      </font>
    </dxf>
    <dxf>
      <fill>
        <patternFill patternType="solid">
          <fgColor indexed="64"/>
          <bgColor rgb="FFE2F0D9"/>
        </patternFill>
      </fill>
    </dxf>
    <dxf>
      <fill>
        <patternFill patternType="solid">
          <fgColor indexed="64"/>
          <bgColor rgb="FFE2F0D9"/>
        </patternFill>
      </fill>
    </dxf>
    <dxf>
      <font>
        <color rgb="FF222222"/>
      </font>
    </dxf>
    <dxf>
      <font>
        <color rgb="FF222222"/>
      </font>
    </dxf>
    <dxf>
      <fill>
        <patternFill patternType="solid">
          <fgColor indexed="64"/>
          <bgColor rgb="FFFFFFFF"/>
        </patternFill>
      </fill>
    </dxf>
    <dxf>
      <fill>
        <patternFill patternType="solid">
          <fgColor indexed="64"/>
          <bgColor rgb="FFFFFFFF"/>
        </patternFill>
      </fill>
    </dxf>
    <dxf>
      <alignment horizontal="center"/>
    </dxf>
    <dxf>
      <alignment horizontal="center"/>
    </dxf>
    <dxf>
      <alignment horizontal="center"/>
    </dxf>
    <dxf>
      <font>
        <b/>
      </font>
    </dxf>
    <dxf>
      <font>
        <b/>
      </font>
    </dxf>
    <dxf>
      <font>
        <b/>
      </font>
    </dxf>
    <dxf>
      <font>
        <color rgb="FF1F4E79"/>
      </font>
    </dxf>
    <dxf>
      <font>
        <color rgb="FF1F4E79"/>
      </font>
    </dxf>
    <dxf>
      <font>
        <color rgb="FF1F4E79"/>
      </font>
    </dxf>
    <dxf>
      <fill>
        <patternFill patternType="solid">
          <fgColor indexed="64"/>
          <bgColor rgb="FFD9EAF7"/>
        </patternFill>
      </fill>
    </dxf>
    <dxf>
      <fill>
        <patternFill patternType="solid">
          <fgColor indexed="64"/>
          <bgColor rgb="FFD9EAF7"/>
        </patternFill>
      </fill>
    </dxf>
    <dxf>
      <fill>
        <patternFill patternType="solid">
          <fgColor indexed="64"/>
          <bgColor rgb="FFD9EAF7"/>
        </patternFill>
      </fill>
    </dxf>
    <dxf>
      <font>
        <sz val="10"/>
      </font>
    </dxf>
    <dxf>
      <font>
        <sz val="10"/>
      </font>
    </dxf>
    <dxf>
      <font>
        <sz val="10"/>
      </font>
    </dxf>
    <dxf>
      <font>
        <sz val="10"/>
      </font>
    </dxf>
    <dxf>
      <font>
        <sz val="10"/>
      </font>
    </dxf>
    <dxf>
      <font>
        <sz val="10"/>
      </font>
    </dxf>
    <dxf>
      <font>
        <sz val="10"/>
      </font>
    </dxf>
    <dxf>
      <font>
        <name val="Calibri"/>
      </font>
    </dxf>
    <dxf>
      <font>
        <name val="Calibri"/>
      </font>
    </dxf>
    <dxf>
      <font>
        <name val="Calibri"/>
      </font>
    </dxf>
    <dxf>
      <font>
        <name val="Calibri"/>
      </font>
    </dxf>
    <dxf>
      <font>
        <name val="Calibri"/>
      </font>
    </dxf>
    <dxf>
      <font>
        <name val="Calibri"/>
      </font>
    </dxf>
    <dxf>
      <font>
        <name val="Calibri"/>
      </font>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numFmt numFmtId="0" formatCode="General"/>
    </dxf>
    <dxf>
      <numFmt numFmtId="0" formatCode="General"/>
    </dxf>
    <dxf>
      <numFmt numFmtId="0" formatCode="General"/>
    </dxf>
    <dxf>
      <alignment horizontal="center"/>
    </dxf>
    <dxf>
      <fill>
        <patternFill patternType="solid">
          <fgColor indexed="64"/>
          <bgColor rgb="FFF4F8FB"/>
        </patternFill>
      </fill>
    </dxf>
    <dxf>
      <font>
        <strike val="0"/>
      </font>
    </dxf>
    <dxf>
      <font>
        <u val="none"/>
      </font>
    </dxf>
    <dxf>
      <font>
        <i val="0"/>
      </font>
    </dxf>
    <dxf>
      <font>
        <b/>
      </font>
    </dxf>
    <dxf>
      <font>
        <name val="Calibri"/>
      </font>
    </dxf>
    <dxf>
      <font>
        <sz val="10"/>
      </font>
    </dxf>
    <dxf>
      <font>
        <color rgb="FF222222"/>
      </font>
    </dxf>
    <dxf>
      <border diagonalUp="0" diagonalDown="0" outline="0">
        <left style="thin">
          <color rgb="FFBFBFBF"/>
        </left>
        <right style="thin">
          <color rgb="FFBFBFBF"/>
        </right>
        <top style="thin">
          <color rgb="FF9EADCC"/>
        </top>
        <bottom style="thin">
          <color rgb="FFBFBFBF"/>
        </bottom>
      </border>
    </dxf>
    <dxf>
      <border diagonalUp="0" diagonalDown="0" outline="0">
        <left style="thin">
          <color rgb="FFBFBFBF"/>
        </left>
        <right style="thin">
          <color rgb="FFBFBFBF"/>
        </right>
        <top style="thin">
          <color rgb="FF9EADCC"/>
        </top>
        <bottom style="thin">
          <color rgb="FFBFBFBF"/>
        </bottom>
      </border>
    </dxf>
    <dxf>
      <border diagonalUp="0" diagonalDown="0" outline="0">
        <left style="thin">
          <color rgb="FFBFBFBF"/>
        </left>
        <right style="thin">
          <color rgb="FFBFBFBF"/>
        </right>
        <top style="thin">
          <color rgb="FF9EADCC"/>
        </top>
        <bottom style="thin">
          <color rgb="FFBFBFBF"/>
        </bottom>
      </border>
    </dxf>
    <dxf>
      <border diagonalUp="0" diagonalDown="0" outline="0">
        <left style="thin">
          <color rgb="FFBFBFBF"/>
        </left>
        <right style="thin">
          <color rgb="FFBFBFBF"/>
        </right>
        <top style="thin">
          <color rgb="FF9EADCC"/>
        </top>
        <bottom style="thin">
          <color rgb="FFBFBFBF"/>
        </bottom>
      </border>
    </dxf>
    <dxf>
      <border diagonalUp="0" diagonalDown="0" outline="0">
        <left style="thin">
          <color rgb="FFBFBFBF"/>
        </left>
        <right style="thin">
          <color rgb="FFBFBFBF"/>
        </right>
        <top style="thin">
          <color rgb="FF9EADCC"/>
        </top>
        <bottom style="thin">
          <color rgb="FFBFBFBF"/>
        </bottom>
      </border>
    </dxf>
    <dxf>
      <border diagonalUp="0" diagonalDown="0" outline="0">
        <left style="thin">
          <color rgb="FFBFBFBF"/>
        </left>
        <right style="thin">
          <color rgb="FFBFBFBF"/>
        </right>
        <top style="thin">
          <color rgb="FF9EADCC"/>
        </top>
        <bottom style="thin">
          <color rgb="FFBFBFBF"/>
        </bottom>
      </border>
    </dxf>
    <dxf>
      <border diagonalUp="0" diagonalDown="0" outline="0">
        <left style="thin">
          <color rgb="FFBFBFBF"/>
        </left>
        <right style="thin">
          <color rgb="FFBFBFBF"/>
        </right>
        <top style="thin">
          <color rgb="FF9EADCC"/>
        </top>
        <bottom style="thin">
          <color rgb="FFBFBFBF"/>
        </bottom>
      </border>
    </dxf>
    <dxf>
      <border diagonalUp="0" diagonalDown="0" outline="0">
        <left style="thin">
          <color rgb="FFBFBFBF"/>
        </left>
        <right style="thin">
          <color rgb="FFBFBFBF"/>
        </right>
        <top style="thin">
          <color rgb="FF9EADCC"/>
        </top>
        <bottom style="thin">
          <color rgb="FFBFBFBF"/>
        </bottom>
      </border>
    </dxf>
    <dxf>
      <border diagonalUp="0" diagonalDown="0" outline="0">
        <left style="thin">
          <color rgb="FFBFBFBF"/>
        </left>
        <right style="thin">
          <color rgb="FFBFBFBF"/>
        </right>
        <top style="thin">
          <color rgb="FF9EADCC"/>
        </top>
        <bottom style="thin">
          <color rgb="FFBFBFBF"/>
        </bottom>
      </border>
    </dxf>
    <dxf>
      <border diagonalUp="0" diagonalDown="0" outline="0">
        <left style="thin">
          <color rgb="FFBFBFBF"/>
        </left>
        <right style="thin">
          <color rgb="FFBFBFBF"/>
        </right>
        <top style="thin">
          <color rgb="FF9EADCC"/>
        </top>
        <bottom style="thin">
          <color rgb="FFBFBFBF"/>
        </bottom>
      </border>
    </dxf>
    <dxf>
      <border diagonalUp="0" diagonalDown="0" outline="0">
        <left style="thin">
          <color rgb="FFBFBFBF"/>
        </left>
        <right style="thin">
          <color rgb="FFBFBFBF"/>
        </right>
        <top style="thin">
          <color rgb="FF9EADCC"/>
        </top>
        <bottom style="thin">
          <color rgb="FFBFBFBF"/>
        </bottom>
      </border>
    </dxf>
    <dxf>
      <border diagonalUp="0" diagonalDown="0" outline="0">
        <left style="thin">
          <color rgb="FFBFBFBF"/>
        </left>
        <right style="thin">
          <color rgb="FFBFBFBF"/>
        </right>
        <top style="thin">
          <color rgb="FFBFBFBF"/>
        </top>
        <bottom style="thin">
          <color rgb="FFBFBFBF"/>
        </bottom>
      </border>
    </dxf>
    <dxf>
      <numFmt numFmtId="0" formatCode="General"/>
    </dxf>
    <dxf>
      <numFmt numFmtId="0" formatCode="General"/>
    </dxf>
    <dxf>
      <numFmt numFmtId="0" formatCode="General"/>
    </dxf>
    <dxf>
      <alignment horizontal="center"/>
    </dxf>
    <dxf>
      <fill>
        <patternFill patternType="solid">
          <fgColor indexed="64"/>
          <bgColor rgb="FF1F4E79"/>
        </patternFill>
      </fill>
    </dxf>
    <dxf>
      <font>
        <strike val="0"/>
      </font>
    </dxf>
    <dxf>
      <font>
        <u val="none"/>
      </font>
    </dxf>
    <dxf>
      <font>
        <i val="0"/>
      </font>
    </dxf>
    <dxf>
      <font>
        <b/>
      </font>
    </dxf>
    <dxf>
      <font>
        <name val="Calibri"/>
      </font>
    </dxf>
    <dxf>
      <font>
        <sz val="10"/>
      </font>
    </dxf>
    <dxf>
      <font>
        <color rgb="FFFFFFFF"/>
      </font>
    </dxf>
    <dxf>
      <numFmt numFmtId="164" formatCode="0.0"/>
    </dxf>
    <dxf>
      <numFmt numFmtId="164" formatCode="0.0"/>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alignment horizontal="center"/>
    </dxf>
    <dxf>
      <font>
        <b/>
      </font>
    </dxf>
    <dxf>
      <fill>
        <patternFill patternType="solid">
          <fgColor indexed="64"/>
          <bgColor rgb="FFF4F8FB"/>
        </patternFill>
      </fill>
    </dxf>
    <dxf>
      <alignment horizontal="center"/>
    </dxf>
    <dxf>
      <font>
        <b/>
      </font>
    </dxf>
    <dxf>
      <font>
        <color rgb="FFFFFFFF"/>
      </font>
    </dxf>
    <dxf>
      <fill>
        <patternFill patternType="solid">
          <fgColor indexed="64"/>
          <bgColor rgb="FF1F4E79"/>
        </patternFill>
      </fill>
    </dxf>
    <dxf>
      <font>
        <sz val="10"/>
      </font>
    </dxf>
    <dxf>
      <font>
        <sz val="10"/>
      </font>
    </dxf>
    <dxf>
      <font>
        <sz val="10"/>
      </font>
    </dxf>
    <dxf>
      <font>
        <name val="Calibri"/>
      </font>
    </dxf>
    <dxf>
      <font>
        <name val="Calibri"/>
      </font>
    </dxf>
    <dxf>
      <font>
        <name val="Calibri"/>
      </font>
    </dxf>
    <dxf>
      <numFmt numFmtId="164" formatCode="0.0"/>
    </dxf>
    <dxf>
      <numFmt numFmtId="164" formatCode="0.0"/>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rgb="FFBFBFBF"/>
        </right>
        <top style="thin">
          <color rgb="FFBFBFBF"/>
        </top>
        <bottom style="thin">
          <color rgb="FFBFBFBF"/>
        </bottom>
      </border>
    </dxf>
    <dxf>
      <border diagonalUp="0" diagonalDown="0" outline="0">
        <left style="thin">
          <color rgb="FFBFBFBF"/>
        </left>
        <right style="thin">
          <color auto="1"/>
        </right>
        <top style="thin">
          <color rgb="FFBFBFBF"/>
        </top>
        <bottom style="thin">
          <color rgb="FFBFBFBF"/>
        </bottom>
      </border>
    </dxf>
    <dxf>
      <border diagonalUp="0" diagonalDown="0" outline="0">
        <left style="thin">
          <color rgb="FFBFBFBF"/>
        </left>
        <right style="thin">
          <color auto="1"/>
        </right>
        <top style="thin">
          <color rgb="FFBFBFBF"/>
        </top>
        <bottom style="thin">
          <color rgb="FFBFBFBF"/>
        </bottom>
      </border>
    </dxf>
    <dxf>
      <border diagonalUp="0" diagonalDown="0" outline="0">
        <left style="thin">
          <color rgb="FFBFBFBF"/>
        </left>
        <right style="thin">
          <color auto="1"/>
        </right>
        <top style="thin">
          <color rgb="FFBFBFBF"/>
        </top>
        <bottom style="thin">
          <color rgb="FFBFBFBF"/>
        </bottom>
      </border>
    </dxf>
    <dxf>
      <border diagonalUp="0" diagonalDown="0" outline="0">
        <left style="thin">
          <color rgb="FFBFBFBF"/>
        </left>
        <right style="thin">
          <color auto="1"/>
        </right>
        <top style="thin">
          <color rgb="FFBFBFBF"/>
        </top>
        <bottom style="thin">
          <color rgb="FFBFBFBF"/>
        </bottom>
      </border>
    </dxf>
    <dxf>
      <border diagonalUp="0" diagonalDown="0" outline="0">
        <left style="thin">
          <color rgb="FFBFBFBF"/>
        </left>
        <right style="thin">
          <color auto="1"/>
        </right>
        <top style="thin">
          <color rgb="FFBFBFBF"/>
        </top>
        <bottom style="thin">
          <color rgb="FFBFBFBF"/>
        </bottom>
      </border>
    </dxf>
    <dxf>
      <border diagonalUp="0" diagonalDown="0" outline="0">
        <left style="thin">
          <color rgb="FFBFBFBF"/>
        </left>
        <right style="thin">
          <color auto="1"/>
        </right>
        <top style="thin">
          <color rgb="FFBFBFBF"/>
        </top>
        <bottom style="thin">
          <color rgb="FFBFBFBF"/>
        </bottom>
      </border>
    </dxf>
    <dxf>
      <border diagonalUp="0" diagonalDown="0" outline="0">
        <left style="thin">
          <color rgb="FFBFBFBF"/>
        </left>
        <right/>
        <top style="thin">
          <color rgb="FFBFBFBF"/>
        </top>
        <bottom style="thin">
          <color rgb="FFBFBFBF"/>
        </bottom>
      </border>
    </dxf>
    <dxf>
      <border diagonalUp="0" diagonalDown="0" outline="0">
        <left style="thin">
          <color rgb="FFBFBFBF"/>
        </left>
        <right/>
        <top style="thin">
          <color rgb="FFBFBFBF"/>
        </top>
        <bottom style="thin">
          <color rgb="FFBFBFBF"/>
        </bottom>
      </border>
    </dxf>
    <dxf>
      <border diagonalUp="0" diagonalDown="0" outline="0">
        <left style="thin">
          <color rgb="FFBFBFBF"/>
        </left>
        <right/>
        <top style="thin">
          <color rgb="FFBFBFBF"/>
        </top>
        <bottom style="thin">
          <color rgb="FFBFBFBF"/>
        </bottom>
      </border>
    </dxf>
    <dxf>
      <border diagonalUp="0" diagonalDown="0" outline="0">
        <left style="thin">
          <color indexed="64"/>
        </left>
        <right/>
        <top style="thin">
          <color rgb="FFBFBFBF"/>
        </top>
        <bottom style="thin">
          <color rgb="FFBFBFBF"/>
        </bottom>
      </border>
    </dxf>
    <dxf>
      <border diagonalUp="0" diagonalDown="0" outline="0">
        <left style="thin">
          <color indexed="64"/>
        </left>
        <right/>
        <top style="thin">
          <color rgb="FFBFBFBF"/>
        </top>
        <bottom style="thin">
          <color rgb="FFBFBFBF"/>
        </bottom>
      </border>
    </dxf>
    <dxf>
      <border diagonalUp="0" diagonalDown="0" outline="0">
        <left style="thin">
          <color indexed="64"/>
        </left>
        <right/>
        <top style="thin">
          <color rgb="FFBFBFBF"/>
        </top>
        <bottom style="thin">
          <color rgb="FFBFBFBF"/>
        </bottom>
      </border>
    </dxf>
    <dxf>
      <border diagonalUp="0" diagonalDown="0" outline="0">
        <left style="thin">
          <color indexed="64"/>
        </left>
        <right/>
        <top style="thin">
          <color rgb="FFBFBFBF"/>
        </top>
        <bottom style="thin">
          <color rgb="FFBFBFBF"/>
        </bottom>
      </border>
    </dxf>
    <dxf>
      <border diagonalUp="0" diagonalDown="0" outline="0">
        <left style="thin">
          <color indexed="64"/>
        </left>
        <right/>
        <top style="thin">
          <color rgb="FFBFBFBF"/>
        </top>
        <bottom style="thin">
          <color rgb="FFBFBFBF"/>
        </bottom>
      </border>
    </dxf>
    <dxf>
      <border diagonalUp="0" diagonalDown="0" outline="0">
        <left style="thin">
          <color indexed="64"/>
        </left>
        <right/>
        <top style="thin">
          <color rgb="FFBFBFBF"/>
        </top>
        <bottom style="thin">
          <color rgb="FFBFBFBF"/>
        </bottom>
      </border>
    </dxf>
    <dxf>
      <border diagonalUp="0" diagonalDown="0" outline="0">
        <right/>
        <top style="thin">
          <color rgb="FFBFBFBF"/>
        </top>
        <bottom style="thin">
          <color rgb="FFBFBFBF"/>
        </bottom>
      </border>
    </dxf>
    <dxf>
      <border diagonalUp="0" diagonalDown="0" outline="0">
        <right/>
        <top style="thin">
          <color rgb="FFBFBFBF"/>
        </top>
        <bottom style="thin">
          <color rgb="FFBFBFBF"/>
        </bottom>
      </border>
    </dxf>
    <dxf>
      <border diagonalUp="0" diagonalDown="0" outline="0">
        <right/>
        <top style="thin">
          <color rgb="FFBFBFBF"/>
        </top>
        <bottom style="thin">
          <color rgb="FFBFBFBF"/>
        </bottom>
      </border>
    </dxf>
    <dxf>
      <border diagonalUp="0" diagonalDown="0" outline="0">
        <right/>
        <top style="thin">
          <color rgb="FFBFBFBF"/>
        </top>
        <bottom style="thin">
          <color indexed="64"/>
        </bottom>
      </border>
    </dxf>
    <dxf>
      <border diagonalUp="0" diagonalDown="0" outline="0">
        <right/>
        <top style="thin">
          <color rgb="FFBFBFBF"/>
        </top>
        <bottom style="thin">
          <color indexed="64"/>
        </bottom>
      </border>
    </dxf>
    <dxf>
      <border diagonalUp="0" diagonalDown="0" outline="0">
        <right/>
        <top style="thin">
          <color rgb="FFBFBFBF"/>
        </top>
        <bottom style="thin">
          <color indexed="64"/>
        </bottom>
      </border>
    </dxf>
    <dxf>
      <border diagonalUp="0" diagonalDown="0" outline="0">
        <right/>
        <top style="thin">
          <color rgb="FFBFBFBF"/>
        </top>
        <bottom style="thin">
          <color auto="1"/>
        </bottom>
      </border>
    </dxf>
    <dxf>
      <border diagonalUp="0" diagonalDown="0" outline="0">
        <right/>
        <top style="thin">
          <color rgb="FFBFBFBF"/>
        </top>
        <bottom style="thin">
          <color auto="1"/>
        </bottom>
      </border>
    </dxf>
    <dxf>
      <border diagonalUp="0" diagonalDown="0" outline="0">
        <right/>
        <top style="thin">
          <color rgb="FFBFBFBF"/>
        </top>
        <bottom style="thin">
          <color auto="1"/>
        </bottom>
      </border>
    </dxf>
    <dxf>
      <border diagonalUp="0" diagonalDown="0" outline="0">
        <right/>
        <top style="thin">
          <color rgb="FFBFBFBF"/>
        </top>
        <bottom/>
      </border>
    </dxf>
    <dxf>
      <border diagonalUp="0" diagonalDown="0" outline="0">
        <right/>
        <top style="thin">
          <color rgb="FFBFBFBF"/>
        </top>
        <bottom/>
      </border>
    </dxf>
    <dxf>
      <border diagonalUp="0" diagonalDown="0" outline="0">
        <right/>
        <top style="thin">
          <color rgb="FFBFBFBF"/>
        </top>
        <bottom/>
      </border>
    </dxf>
    <dxf>
      <border diagonalUp="0" diagonalDown="0" outline="0">
        <right/>
        <top style="thin">
          <color indexed="64"/>
        </top>
        <bottom/>
      </border>
    </dxf>
    <dxf>
      <border diagonalUp="0" diagonalDown="0" outline="0">
        <right/>
        <top style="thin">
          <color indexed="64"/>
        </top>
        <bottom/>
      </border>
    </dxf>
    <dxf>
      <border diagonalUp="0" diagonalDown="0" outline="0">
        <right/>
        <top style="thin">
          <color indexed="64"/>
        </top>
        <bottom/>
      </border>
    </dxf>
    <dxf>
      <border diagonalUp="0" diagonalDown="0" outline="0">
        <right/>
        <top style="thin">
          <color indexed="64"/>
        </top>
        <bottom/>
      </border>
    </dxf>
    <dxf>
      <border diagonalUp="0" diagonalDown="0" outline="0">
        <right/>
        <top style="thin">
          <color indexed="64"/>
        </top>
        <bottom/>
      </border>
    </dxf>
    <dxf>
      <border diagonalUp="0" diagonalDown="0" outline="0">
        <right/>
        <top style="thin">
          <color indexed="64"/>
        </top>
        <bottom/>
      </border>
    </dxf>
    <dxf>
      <font>
        <b/>
      </font>
    </dxf>
    <dxf>
      <alignment horizontal="center"/>
    </dxf>
    <dxf>
      <font>
        <color rgb="FF222222"/>
      </font>
    </dxf>
    <dxf>
      <fill>
        <patternFill patternType="solid">
          <fgColor indexed="64"/>
          <bgColor rgb="FFF4F8FB"/>
        </patternFill>
      </fill>
    </dxf>
    <dxf>
      <alignment horizontal="center"/>
    </dxf>
    <dxf>
      <font>
        <b/>
      </font>
    </dxf>
    <dxf>
      <font>
        <color rgb="FFFFFFFF"/>
      </font>
    </dxf>
    <dxf>
      <fill>
        <patternFill patternType="solid">
          <fgColor indexed="64"/>
          <bgColor rgb="FF1F4E79"/>
        </patternFill>
      </fill>
    </dxf>
    <dxf>
      <font>
        <sz val="10"/>
      </font>
    </dxf>
    <dxf>
      <font>
        <sz val="10"/>
      </font>
    </dxf>
    <dxf>
      <font>
        <sz val="10"/>
      </font>
    </dxf>
    <dxf>
      <font>
        <name val="Calibri"/>
      </font>
    </dxf>
    <dxf>
      <font>
        <name val="Calibri"/>
      </font>
    </dxf>
    <dxf>
      <font>
        <name val="Calibri"/>
      </font>
    </dxf>
    <dxf>
      <alignment vertical="center"/>
    </dxf>
    <dxf>
      <alignment vertical="center"/>
    </dxf>
    <dxf>
      <alignment vertical="center"/>
    </dxf>
    <dxf>
      <alignment horizontal="center"/>
    </dxf>
    <dxf>
      <alignment horizontal="center"/>
    </dxf>
    <dxf>
      <alignment horizontal="cent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alignment vertical="center"/>
    </dxf>
    <dxf>
      <alignment vertical="center"/>
    </dxf>
    <dxf>
      <alignment vertical="center"/>
    </dxf>
    <dxf>
      <alignment horizontal="center"/>
    </dxf>
    <dxf>
      <alignment horizontal="center"/>
    </dxf>
    <dxf>
      <alignment horizontal="center"/>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numFmt numFmtId="15" formatCode="0.00E+00"/>
      <alignment horizontal="center" vertical="center" textRotation="0" wrapText="1" indent="0" justifyLastLine="0" shrinkToFit="0" readingOrder="0"/>
    </dxf>
    <dxf>
      <numFmt numFmtId="15" formatCode="0.00E+00"/>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font>
        <b/>
        <i val="0"/>
        <name val="Algerian"/>
        <family val="5"/>
        <scheme val="none"/>
      </font>
      <fill>
        <patternFill patternType="darkGray">
          <fgColor theme="1"/>
          <bgColor theme="0"/>
        </patternFill>
      </fill>
    </dxf>
    <dxf>
      <font>
        <b/>
        <i/>
        <name val="Calibri Light"/>
        <family val="2"/>
        <scheme val="major"/>
      </font>
      <fill>
        <patternFill>
          <fgColor theme="5" tint="0.39994506668294322"/>
          <bgColor theme="0"/>
        </patternFill>
      </fill>
      <border diagonalUp="0" diagonalDown="0">
        <left style="thin">
          <color auto="1"/>
        </left>
        <right style="thin">
          <color auto="1"/>
        </right>
        <top style="thin">
          <color auto="1"/>
        </top>
        <bottom style="thin">
          <color auto="1"/>
        </bottom>
        <vertical/>
        <horizontal/>
      </border>
    </dxf>
    <dxf>
      <fill>
        <patternFill>
          <bgColor theme="0" tint="-4.9989318521683403E-2"/>
        </patternFill>
      </fill>
    </dxf>
  </dxfs>
  <tableStyles count="3" defaultTableStyle="TableStyleMedium2" defaultPivotStyle="PivotStyleLight16">
    <tableStyle name="Slicer Style 1" pivot="0" table="0" count="1" xr9:uid="{C223F011-57C9-4B95-B27A-53CA2383BB58}">
      <tableStyleElement type="wholeTable" dxfId="2509"/>
    </tableStyle>
    <tableStyle name="Slicer Style 2" pivot="0" table="0" count="1" xr9:uid="{E5231F99-2765-4E1E-BF8F-C1D9E45FC8EC}">
      <tableStyleElement type="wholeTable" dxfId="2508"/>
    </tableStyle>
    <tableStyle name="Slicer Style 3" pivot="0" table="0" count="1" xr9:uid="{0751E400-A954-4D23-B14D-E14A53D080BE}">
      <tableStyleElement type="wholeTable" dxfId="2507"/>
    </tableStyle>
  </tableStyles>
  <extLst>
    <ext xmlns:x14="http://schemas.microsoft.com/office/spreadsheetml/2009/9/main" uri="{EB79DEF2-80B8-43e5-95BD-54CBDDF9020C}">
      <x14:slicerStyles defaultSlicerStyle="SlicerStyleLight1">
        <x14:slicerStyle name="Slicer Style 1"/>
        <x14:slicerStyle name="Slicer Style 2"/>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Orders 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Chartes!$B$8</c:f>
              <c:strCache>
                <c:ptCount val="1"/>
                <c:pt idx="0">
                  <c:v>Orders</c:v>
                </c:pt>
              </c:strCache>
            </c:strRef>
          </c:tx>
          <c:spPr>
            <a:solidFill>
              <a:schemeClr val="accent1"/>
            </a:solidFill>
            <a:ln>
              <a:noFill/>
            </a:ln>
            <a:effectLst/>
          </c:spPr>
          <c:invertIfNegative val="0"/>
          <c:cat>
            <c:strRef>
              <c:f>Chartes!$A$9:$A$15</c:f>
              <c:strCache>
                <c:ptCount val="7"/>
                <c:pt idx="0">
                  <c:v>Bangalore</c:v>
                </c:pt>
                <c:pt idx="1">
                  <c:v>Chennai</c:v>
                </c:pt>
                <c:pt idx="2">
                  <c:v>Delhi</c:v>
                </c:pt>
                <c:pt idx="3">
                  <c:v>Hyderabad</c:v>
                </c:pt>
                <c:pt idx="4">
                  <c:v>Kolkata</c:v>
                </c:pt>
                <c:pt idx="5">
                  <c:v>Mumbai</c:v>
                </c:pt>
                <c:pt idx="6">
                  <c:v>Pune</c:v>
                </c:pt>
              </c:strCache>
            </c:strRef>
          </c:cat>
          <c:val>
            <c:numRef>
              <c:f>Chartes!$B$9:$B$15</c:f>
              <c:numCache>
                <c:formatCode>General</c:formatCode>
                <c:ptCount val="7"/>
                <c:pt idx="0">
                  <c:v>2</c:v>
                </c:pt>
                <c:pt idx="1">
                  <c:v>3</c:v>
                </c:pt>
                <c:pt idx="2">
                  <c:v>3</c:v>
                </c:pt>
                <c:pt idx="3">
                  <c:v>1</c:v>
                </c:pt>
                <c:pt idx="4">
                  <c:v>2</c:v>
                </c:pt>
                <c:pt idx="5">
                  <c:v>3</c:v>
                </c:pt>
                <c:pt idx="6">
                  <c:v>6</c:v>
                </c:pt>
              </c:numCache>
            </c:numRef>
          </c:val>
          <c:extLst>
            <c:ext xmlns:c16="http://schemas.microsoft.com/office/drawing/2014/chart" uri="{C3380CC4-5D6E-409C-BE32-E72D297353CC}">
              <c16:uniqueId val="{00000000-DC3B-4FD3-940E-30AB051A0C37}"/>
            </c:ext>
          </c:extLst>
        </c:ser>
        <c:dLbls>
          <c:showLegendKey val="0"/>
          <c:showVal val="0"/>
          <c:showCatName val="0"/>
          <c:showSerName val="0"/>
          <c:showPercent val="0"/>
          <c:showBubbleSize val="0"/>
        </c:dLbls>
        <c:gapWidth val="219"/>
        <c:overlap val="-27"/>
        <c:axId val="225865856"/>
        <c:axId val="225858784"/>
      </c:barChart>
      <c:catAx>
        <c:axId val="225865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5858784"/>
        <c:crosses val="autoZero"/>
        <c:auto val="1"/>
        <c:lblAlgn val="ctr"/>
        <c:lblOffset val="100"/>
        <c:noMultiLvlLbl val="0"/>
      </c:catAx>
      <c:valAx>
        <c:axId val="2258587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58658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 Status Mix</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tx>
            <c:strRef>
              <c:f>Chartes!$B$21</c:f>
              <c:strCache>
                <c:ptCount val="1"/>
                <c:pt idx="0">
                  <c:v>Orders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A04-4092-AEA9-2926FFDBE63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A04-4092-AEA9-2926FFDBE63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A04-4092-AEA9-2926FFDBE63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A04-4092-AEA9-2926FFDBE63A}"/>
              </c:ext>
            </c:extLst>
          </c:dPt>
          <c:cat>
            <c:strRef>
              <c:f>Chartes!$A$22:$A$25</c:f>
              <c:strCache>
                <c:ptCount val="4"/>
                <c:pt idx="0">
                  <c:v>Delivered</c:v>
                </c:pt>
                <c:pt idx="1">
                  <c:v>Pending</c:v>
                </c:pt>
                <c:pt idx="2">
                  <c:v>Cancelled</c:v>
                </c:pt>
                <c:pt idx="3">
                  <c:v>Returned</c:v>
                </c:pt>
              </c:strCache>
            </c:strRef>
          </c:cat>
          <c:val>
            <c:numRef>
              <c:f>Chartes!$B$22:$B$25</c:f>
              <c:numCache>
                <c:formatCode>General</c:formatCode>
                <c:ptCount val="4"/>
                <c:pt idx="0">
                  <c:v>11</c:v>
                </c:pt>
                <c:pt idx="1">
                  <c:v>5</c:v>
                </c:pt>
                <c:pt idx="2">
                  <c:v>2</c:v>
                </c:pt>
                <c:pt idx="3">
                  <c:v>2</c:v>
                </c:pt>
              </c:numCache>
            </c:numRef>
          </c:val>
          <c:extLst>
            <c:ext xmlns:c16="http://schemas.microsoft.com/office/drawing/2014/chart" uri="{C3380CC4-5D6E-409C-BE32-E72D297353CC}">
              <c16:uniqueId val="{00000000-124B-4654-A0D2-84B530CDBEF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 Orders and Quantity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Chartes!$B$29</c:f>
              <c:strCache>
                <c:ptCount val="1"/>
                <c:pt idx="0">
                  <c:v>Orders</c:v>
                </c:pt>
              </c:strCache>
            </c:strRef>
          </c:tx>
          <c:spPr>
            <a:solidFill>
              <a:schemeClr val="accent1"/>
            </a:solidFill>
            <a:ln>
              <a:noFill/>
            </a:ln>
            <a:effectLst/>
          </c:spPr>
          <c:invertIfNegative val="0"/>
          <c:cat>
            <c:strRef>
              <c:f>Chartes!$A$30:$A$35</c:f>
              <c:strCache>
                <c:ptCount val="6"/>
                <c:pt idx="0">
                  <c:v>Keyboard</c:v>
                </c:pt>
                <c:pt idx="1">
                  <c:v>Laptop</c:v>
                </c:pt>
                <c:pt idx="2">
                  <c:v>Monitor</c:v>
                </c:pt>
                <c:pt idx="3">
                  <c:v>Mouse</c:v>
                </c:pt>
                <c:pt idx="4">
                  <c:v>Phone</c:v>
                </c:pt>
                <c:pt idx="5">
                  <c:v>Tablet</c:v>
                </c:pt>
              </c:strCache>
            </c:strRef>
          </c:cat>
          <c:val>
            <c:numRef>
              <c:f>Chartes!$B$30:$B$35</c:f>
              <c:numCache>
                <c:formatCode>General</c:formatCode>
                <c:ptCount val="6"/>
                <c:pt idx="0">
                  <c:v>3</c:v>
                </c:pt>
                <c:pt idx="1">
                  <c:v>5</c:v>
                </c:pt>
                <c:pt idx="2">
                  <c:v>3</c:v>
                </c:pt>
                <c:pt idx="3">
                  <c:v>4</c:v>
                </c:pt>
                <c:pt idx="4">
                  <c:v>3</c:v>
                </c:pt>
                <c:pt idx="5">
                  <c:v>2</c:v>
                </c:pt>
              </c:numCache>
            </c:numRef>
          </c:val>
          <c:extLst>
            <c:ext xmlns:c16="http://schemas.microsoft.com/office/drawing/2014/chart" uri="{C3380CC4-5D6E-409C-BE32-E72D297353CC}">
              <c16:uniqueId val="{00000000-0DEB-458E-A659-F90C4DF734CB}"/>
            </c:ext>
          </c:extLst>
        </c:ser>
        <c:ser>
          <c:idx val="1"/>
          <c:order val="1"/>
          <c:tx>
            <c:strRef>
              <c:f>Chartes!$C$29</c:f>
              <c:strCache>
                <c:ptCount val="1"/>
                <c:pt idx="0">
                  <c:v>Quantity</c:v>
                </c:pt>
              </c:strCache>
            </c:strRef>
          </c:tx>
          <c:spPr>
            <a:solidFill>
              <a:schemeClr val="accent2"/>
            </a:solidFill>
            <a:ln>
              <a:noFill/>
            </a:ln>
            <a:effectLst/>
          </c:spPr>
          <c:invertIfNegative val="0"/>
          <c:cat>
            <c:strRef>
              <c:f>Chartes!$A$30:$A$35</c:f>
              <c:strCache>
                <c:ptCount val="6"/>
                <c:pt idx="0">
                  <c:v>Keyboard</c:v>
                </c:pt>
                <c:pt idx="1">
                  <c:v>Laptop</c:v>
                </c:pt>
                <c:pt idx="2">
                  <c:v>Monitor</c:v>
                </c:pt>
                <c:pt idx="3">
                  <c:v>Mouse</c:v>
                </c:pt>
                <c:pt idx="4">
                  <c:v>Phone</c:v>
                </c:pt>
                <c:pt idx="5">
                  <c:v>Tablet</c:v>
                </c:pt>
              </c:strCache>
            </c:strRef>
          </c:cat>
          <c:val>
            <c:numRef>
              <c:f>Chartes!$C$30:$C$35</c:f>
              <c:numCache>
                <c:formatCode>General</c:formatCode>
                <c:ptCount val="6"/>
                <c:pt idx="0">
                  <c:v>4</c:v>
                </c:pt>
                <c:pt idx="1">
                  <c:v>9</c:v>
                </c:pt>
                <c:pt idx="2">
                  <c:v>4</c:v>
                </c:pt>
                <c:pt idx="3">
                  <c:v>25</c:v>
                </c:pt>
                <c:pt idx="4">
                  <c:v>7</c:v>
                </c:pt>
                <c:pt idx="5">
                  <c:v>5</c:v>
                </c:pt>
              </c:numCache>
            </c:numRef>
          </c:val>
          <c:extLst>
            <c:ext xmlns:c16="http://schemas.microsoft.com/office/drawing/2014/chart" uri="{C3380CC4-5D6E-409C-BE32-E72D297353CC}">
              <c16:uniqueId val="{00000001-0DEB-458E-A659-F90C4DF734CB}"/>
            </c:ext>
          </c:extLst>
        </c:ser>
        <c:dLbls>
          <c:showLegendKey val="0"/>
          <c:showVal val="0"/>
          <c:showCatName val="0"/>
          <c:showSerName val="0"/>
          <c:showPercent val="0"/>
          <c:showBubbleSize val="0"/>
        </c:dLbls>
        <c:gapWidth val="219"/>
        <c:overlap val="-27"/>
        <c:axId val="221261456"/>
        <c:axId val="221262704"/>
      </c:barChart>
      <c:catAx>
        <c:axId val="221261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1262704"/>
        <c:crosses val="autoZero"/>
        <c:auto val="1"/>
        <c:lblAlgn val="ctr"/>
        <c:lblOffset val="100"/>
        <c:noMultiLvlLbl val="0"/>
      </c:catAx>
      <c:valAx>
        <c:axId val="221262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12614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City Status Breakdown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tx>
            <c:strRef>
              <c:f>Chartes!$B$41</c:f>
              <c:strCache>
                <c:ptCount val="1"/>
                <c:pt idx="0">
                  <c:v>Delivered</c:v>
                </c:pt>
              </c:strCache>
            </c:strRef>
          </c:tx>
          <c:spPr>
            <a:solidFill>
              <a:schemeClr val="accent1"/>
            </a:solidFill>
            <a:ln>
              <a:noFill/>
            </a:ln>
            <a:effectLst/>
          </c:spPr>
          <c:invertIfNegative val="0"/>
          <c:cat>
            <c:strRef>
              <c:f>Chartes!$A$42:$A$48</c:f>
              <c:strCache>
                <c:ptCount val="7"/>
                <c:pt idx="0">
                  <c:v>Bangalore</c:v>
                </c:pt>
                <c:pt idx="1">
                  <c:v>Chennai</c:v>
                </c:pt>
                <c:pt idx="2">
                  <c:v>Delhi</c:v>
                </c:pt>
                <c:pt idx="3">
                  <c:v>Hyderabad</c:v>
                </c:pt>
                <c:pt idx="4">
                  <c:v>Kolkata</c:v>
                </c:pt>
                <c:pt idx="5">
                  <c:v>Mumbai</c:v>
                </c:pt>
                <c:pt idx="6">
                  <c:v>Pune</c:v>
                </c:pt>
              </c:strCache>
            </c:strRef>
          </c:cat>
          <c:val>
            <c:numRef>
              <c:f>Chartes!$B$42:$B$48</c:f>
              <c:numCache>
                <c:formatCode>General</c:formatCode>
                <c:ptCount val="7"/>
                <c:pt idx="0">
                  <c:v>2</c:v>
                </c:pt>
                <c:pt idx="1">
                  <c:v>1</c:v>
                </c:pt>
                <c:pt idx="2">
                  <c:v>2</c:v>
                </c:pt>
                <c:pt idx="3">
                  <c:v>1</c:v>
                </c:pt>
                <c:pt idx="4">
                  <c:v>2</c:v>
                </c:pt>
                <c:pt idx="5">
                  <c:v>1</c:v>
                </c:pt>
                <c:pt idx="6">
                  <c:v>2</c:v>
                </c:pt>
              </c:numCache>
            </c:numRef>
          </c:val>
          <c:extLst>
            <c:ext xmlns:c16="http://schemas.microsoft.com/office/drawing/2014/chart" uri="{C3380CC4-5D6E-409C-BE32-E72D297353CC}">
              <c16:uniqueId val="{00000000-6A1B-4005-BAF4-BA33927023B5}"/>
            </c:ext>
          </c:extLst>
        </c:ser>
        <c:ser>
          <c:idx val="1"/>
          <c:order val="1"/>
          <c:tx>
            <c:strRef>
              <c:f>Chartes!$C$41</c:f>
              <c:strCache>
                <c:ptCount val="1"/>
                <c:pt idx="0">
                  <c:v>Pending</c:v>
                </c:pt>
              </c:strCache>
            </c:strRef>
          </c:tx>
          <c:spPr>
            <a:solidFill>
              <a:schemeClr val="accent2"/>
            </a:solidFill>
            <a:ln>
              <a:noFill/>
            </a:ln>
            <a:effectLst/>
          </c:spPr>
          <c:invertIfNegative val="0"/>
          <c:cat>
            <c:strRef>
              <c:f>Chartes!$A$42:$A$48</c:f>
              <c:strCache>
                <c:ptCount val="7"/>
                <c:pt idx="0">
                  <c:v>Bangalore</c:v>
                </c:pt>
                <c:pt idx="1">
                  <c:v>Chennai</c:v>
                </c:pt>
                <c:pt idx="2">
                  <c:v>Delhi</c:v>
                </c:pt>
                <c:pt idx="3">
                  <c:v>Hyderabad</c:v>
                </c:pt>
                <c:pt idx="4">
                  <c:v>Kolkata</c:v>
                </c:pt>
                <c:pt idx="5">
                  <c:v>Mumbai</c:v>
                </c:pt>
                <c:pt idx="6">
                  <c:v>Pune</c:v>
                </c:pt>
              </c:strCache>
            </c:strRef>
          </c:cat>
          <c:val>
            <c:numRef>
              <c:f>Chartes!$C$42:$C$48</c:f>
              <c:numCache>
                <c:formatCode>General</c:formatCode>
                <c:ptCount val="7"/>
                <c:pt idx="0">
                  <c:v>0</c:v>
                </c:pt>
                <c:pt idx="1">
                  <c:v>1</c:v>
                </c:pt>
                <c:pt idx="2">
                  <c:v>0</c:v>
                </c:pt>
                <c:pt idx="3">
                  <c:v>0</c:v>
                </c:pt>
                <c:pt idx="4">
                  <c:v>0</c:v>
                </c:pt>
                <c:pt idx="5">
                  <c:v>2</c:v>
                </c:pt>
                <c:pt idx="6">
                  <c:v>2</c:v>
                </c:pt>
              </c:numCache>
            </c:numRef>
          </c:val>
          <c:extLst>
            <c:ext xmlns:c16="http://schemas.microsoft.com/office/drawing/2014/chart" uri="{C3380CC4-5D6E-409C-BE32-E72D297353CC}">
              <c16:uniqueId val="{00000001-6A1B-4005-BAF4-BA33927023B5}"/>
            </c:ext>
          </c:extLst>
        </c:ser>
        <c:ser>
          <c:idx val="2"/>
          <c:order val="2"/>
          <c:tx>
            <c:strRef>
              <c:f>Chartes!$D$41</c:f>
              <c:strCache>
                <c:ptCount val="1"/>
                <c:pt idx="0">
                  <c:v>Cancelled</c:v>
                </c:pt>
              </c:strCache>
            </c:strRef>
          </c:tx>
          <c:spPr>
            <a:solidFill>
              <a:schemeClr val="accent3"/>
            </a:solidFill>
            <a:ln>
              <a:noFill/>
            </a:ln>
            <a:effectLst/>
          </c:spPr>
          <c:invertIfNegative val="0"/>
          <c:cat>
            <c:strRef>
              <c:f>Chartes!$A$42:$A$48</c:f>
              <c:strCache>
                <c:ptCount val="7"/>
                <c:pt idx="0">
                  <c:v>Bangalore</c:v>
                </c:pt>
                <c:pt idx="1">
                  <c:v>Chennai</c:v>
                </c:pt>
                <c:pt idx="2">
                  <c:v>Delhi</c:v>
                </c:pt>
                <c:pt idx="3">
                  <c:v>Hyderabad</c:v>
                </c:pt>
                <c:pt idx="4">
                  <c:v>Kolkata</c:v>
                </c:pt>
                <c:pt idx="5">
                  <c:v>Mumbai</c:v>
                </c:pt>
                <c:pt idx="6">
                  <c:v>Pune</c:v>
                </c:pt>
              </c:strCache>
            </c:strRef>
          </c:cat>
          <c:val>
            <c:numRef>
              <c:f>Chartes!$D$42:$D$48</c:f>
              <c:numCache>
                <c:formatCode>General</c:formatCode>
                <c:ptCount val="7"/>
                <c:pt idx="0">
                  <c:v>0</c:v>
                </c:pt>
                <c:pt idx="1">
                  <c:v>1</c:v>
                </c:pt>
                <c:pt idx="2">
                  <c:v>0</c:v>
                </c:pt>
                <c:pt idx="3">
                  <c:v>0</c:v>
                </c:pt>
                <c:pt idx="4">
                  <c:v>0</c:v>
                </c:pt>
                <c:pt idx="5">
                  <c:v>0</c:v>
                </c:pt>
                <c:pt idx="6">
                  <c:v>1</c:v>
                </c:pt>
              </c:numCache>
            </c:numRef>
          </c:val>
          <c:extLst>
            <c:ext xmlns:c16="http://schemas.microsoft.com/office/drawing/2014/chart" uri="{C3380CC4-5D6E-409C-BE32-E72D297353CC}">
              <c16:uniqueId val="{00000002-6A1B-4005-BAF4-BA33927023B5}"/>
            </c:ext>
          </c:extLst>
        </c:ser>
        <c:ser>
          <c:idx val="3"/>
          <c:order val="3"/>
          <c:tx>
            <c:strRef>
              <c:f>Chartes!$E$41</c:f>
              <c:strCache>
                <c:ptCount val="1"/>
                <c:pt idx="0">
                  <c:v>Returned</c:v>
                </c:pt>
              </c:strCache>
            </c:strRef>
          </c:tx>
          <c:spPr>
            <a:solidFill>
              <a:schemeClr val="accent4"/>
            </a:solidFill>
            <a:ln>
              <a:noFill/>
            </a:ln>
            <a:effectLst/>
          </c:spPr>
          <c:invertIfNegative val="0"/>
          <c:cat>
            <c:strRef>
              <c:f>Chartes!$A$42:$A$48</c:f>
              <c:strCache>
                <c:ptCount val="7"/>
                <c:pt idx="0">
                  <c:v>Bangalore</c:v>
                </c:pt>
                <c:pt idx="1">
                  <c:v>Chennai</c:v>
                </c:pt>
                <c:pt idx="2">
                  <c:v>Delhi</c:v>
                </c:pt>
                <c:pt idx="3">
                  <c:v>Hyderabad</c:v>
                </c:pt>
                <c:pt idx="4">
                  <c:v>Kolkata</c:v>
                </c:pt>
                <c:pt idx="5">
                  <c:v>Mumbai</c:v>
                </c:pt>
                <c:pt idx="6">
                  <c:v>Pune</c:v>
                </c:pt>
              </c:strCache>
            </c:strRef>
          </c:cat>
          <c:val>
            <c:numRef>
              <c:f>Chartes!$E$42:$E$48</c:f>
              <c:numCache>
                <c:formatCode>General</c:formatCode>
                <c:ptCount val="7"/>
                <c:pt idx="0">
                  <c:v>0</c:v>
                </c:pt>
                <c:pt idx="1">
                  <c:v>0</c:v>
                </c:pt>
                <c:pt idx="2">
                  <c:v>1</c:v>
                </c:pt>
                <c:pt idx="3">
                  <c:v>0</c:v>
                </c:pt>
                <c:pt idx="4">
                  <c:v>0</c:v>
                </c:pt>
                <c:pt idx="5">
                  <c:v>0</c:v>
                </c:pt>
                <c:pt idx="6">
                  <c:v>1</c:v>
                </c:pt>
              </c:numCache>
            </c:numRef>
          </c:val>
          <c:extLst>
            <c:ext xmlns:c16="http://schemas.microsoft.com/office/drawing/2014/chart" uri="{C3380CC4-5D6E-409C-BE32-E72D297353CC}">
              <c16:uniqueId val="{00000003-6A1B-4005-BAF4-BA33927023B5}"/>
            </c:ext>
          </c:extLst>
        </c:ser>
        <c:dLbls>
          <c:showLegendKey val="0"/>
          <c:showVal val="0"/>
          <c:showCatName val="0"/>
          <c:showSerName val="0"/>
          <c:showPercent val="0"/>
          <c:showBubbleSize val="0"/>
        </c:dLbls>
        <c:gapWidth val="150"/>
        <c:overlap val="100"/>
        <c:axId val="125405040"/>
        <c:axId val="125408368"/>
      </c:barChart>
      <c:catAx>
        <c:axId val="1254050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408368"/>
        <c:crosses val="autoZero"/>
        <c:auto val="1"/>
        <c:lblAlgn val="ctr"/>
        <c:lblOffset val="100"/>
        <c:noMultiLvlLbl val="0"/>
      </c:catAx>
      <c:valAx>
        <c:axId val="1254083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4050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Delivery Speed Bands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Chartes!$B$55</c:f>
              <c:strCache>
                <c:ptCount val="1"/>
                <c:pt idx="0">
                  <c:v>Orders</c:v>
                </c:pt>
              </c:strCache>
            </c:strRef>
          </c:tx>
          <c:spPr>
            <a:solidFill>
              <a:schemeClr val="accent1"/>
            </a:solidFill>
            <a:ln>
              <a:noFill/>
            </a:ln>
            <a:effectLst/>
          </c:spPr>
          <c:invertIfNegative val="0"/>
          <c:cat>
            <c:strRef>
              <c:f>Chartes!$A$56:$A$59</c:f>
              <c:strCache>
                <c:ptCount val="4"/>
                <c:pt idx="0">
                  <c:v>0–3 days</c:v>
                </c:pt>
                <c:pt idx="1">
                  <c:v>4–7 days</c:v>
                </c:pt>
                <c:pt idx="2">
                  <c:v>8–11 days</c:v>
                </c:pt>
                <c:pt idx="3">
                  <c:v>12+ days</c:v>
                </c:pt>
              </c:strCache>
            </c:strRef>
          </c:cat>
          <c:val>
            <c:numRef>
              <c:f>Chartes!$B$56:$B$59</c:f>
              <c:numCache>
                <c:formatCode>General</c:formatCode>
                <c:ptCount val="4"/>
                <c:pt idx="0">
                  <c:v>5</c:v>
                </c:pt>
                <c:pt idx="1">
                  <c:v>8</c:v>
                </c:pt>
                <c:pt idx="2">
                  <c:v>3</c:v>
                </c:pt>
                <c:pt idx="3">
                  <c:v>4</c:v>
                </c:pt>
              </c:numCache>
            </c:numRef>
          </c:val>
          <c:extLst>
            <c:ext xmlns:c16="http://schemas.microsoft.com/office/drawing/2014/chart" uri="{C3380CC4-5D6E-409C-BE32-E72D297353CC}">
              <c16:uniqueId val="{00000000-1332-4EFA-8FE3-BD84398DB5EC}"/>
            </c:ext>
          </c:extLst>
        </c:ser>
        <c:dLbls>
          <c:showLegendKey val="0"/>
          <c:showVal val="0"/>
          <c:showCatName val="0"/>
          <c:showSerName val="0"/>
          <c:showPercent val="0"/>
          <c:showBubbleSize val="0"/>
        </c:dLbls>
        <c:gapWidth val="182"/>
        <c:axId val="133002176"/>
        <c:axId val="133003840"/>
      </c:barChart>
      <c:catAx>
        <c:axId val="1330021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003840"/>
        <c:crosses val="autoZero"/>
        <c:auto val="1"/>
        <c:lblAlgn val="ctr"/>
        <c:lblOffset val="100"/>
        <c:noMultiLvlLbl val="0"/>
      </c:catAx>
      <c:valAx>
        <c:axId val="1330038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0021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[Logistics.xlsx]Pivot Analysis!PivotTable4</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Delivery Days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Analysis'!$B$10</c:f>
              <c:strCache>
                <c:ptCount val="1"/>
                <c:pt idx="0">
                  <c:v>Total</c:v>
                </c:pt>
              </c:strCache>
            </c:strRef>
          </c:tx>
          <c:spPr>
            <a:solidFill>
              <a:schemeClr val="accent1"/>
            </a:solidFill>
            <a:ln>
              <a:noFill/>
            </a:ln>
            <a:effectLst/>
          </c:spPr>
          <c:invertIfNegative val="0"/>
          <c:cat>
            <c:strRef>
              <c:f>'Pivot Analysis'!$A$11:$A$17</c:f>
              <c:strCache>
                <c:ptCount val="6"/>
                <c:pt idx="0">
                  <c:v>Keyboard</c:v>
                </c:pt>
                <c:pt idx="1">
                  <c:v>Laptop</c:v>
                </c:pt>
                <c:pt idx="2">
                  <c:v>Monitor</c:v>
                </c:pt>
                <c:pt idx="3">
                  <c:v>Mouse</c:v>
                </c:pt>
                <c:pt idx="4">
                  <c:v>Phone</c:v>
                </c:pt>
                <c:pt idx="5">
                  <c:v>Tablet</c:v>
                </c:pt>
              </c:strCache>
            </c:strRef>
          </c:cat>
          <c:val>
            <c:numRef>
              <c:f>'Pivot Analysis'!$B$11:$B$17</c:f>
              <c:numCache>
                <c:formatCode>0.0</c:formatCode>
                <c:ptCount val="6"/>
                <c:pt idx="0">
                  <c:v>4.333333333333333</c:v>
                </c:pt>
                <c:pt idx="1">
                  <c:v>5.8</c:v>
                </c:pt>
                <c:pt idx="2">
                  <c:v>3</c:v>
                </c:pt>
                <c:pt idx="3">
                  <c:v>10.75</c:v>
                </c:pt>
                <c:pt idx="4">
                  <c:v>6</c:v>
                </c:pt>
                <c:pt idx="5">
                  <c:v>10</c:v>
                </c:pt>
              </c:numCache>
            </c:numRef>
          </c:val>
          <c:extLst>
            <c:ext xmlns:c16="http://schemas.microsoft.com/office/drawing/2014/chart" uri="{C3380CC4-5D6E-409C-BE32-E72D297353CC}">
              <c16:uniqueId val="{00000000-4941-4A31-8024-37B689A9582F}"/>
            </c:ext>
          </c:extLst>
        </c:ser>
        <c:dLbls>
          <c:showLegendKey val="0"/>
          <c:showVal val="0"/>
          <c:showCatName val="0"/>
          <c:showSerName val="0"/>
          <c:showPercent val="0"/>
          <c:showBubbleSize val="0"/>
        </c:dLbls>
        <c:gapWidth val="219"/>
        <c:overlap val="-27"/>
        <c:axId val="290574256"/>
        <c:axId val="290564272"/>
      </c:barChart>
      <c:catAx>
        <c:axId val="290574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0564272"/>
        <c:crosses val="autoZero"/>
        <c:auto val="1"/>
        <c:lblAlgn val="ctr"/>
        <c:lblOffset val="100"/>
        <c:noMultiLvlLbl val="0"/>
      </c:catAx>
      <c:valAx>
        <c:axId val="290564272"/>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0574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[Logistics.xlsx]Pivot Analysis!PivotTable1</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Delivery Days 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Analysis'!$B$21</c:f>
              <c:strCache>
                <c:ptCount val="1"/>
                <c:pt idx="0">
                  <c:v>Total</c:v>
                </c:pt>
              </c:strCache>
            </c:strRef>
          </c:tx>
          <c:spPr>
            <a:solidFill>
              <a:schemeClr val="accent1"/>
            </a:solidFill>
            <a:ln>
              <a:noFill/>
            </a:ln>
            <a:effectLst/>
          </c:spPr>
          <c:invertIfNegative val="0"/>
          <c:cat>
            <c:strRef>
              <c:f>'Pivot Analysis'!$A$22:$A$29</c:f>
              <c:strCache>
                <c:ptCount val="7"/>
                <c:pt idx="0">
                  <c:v>Bangalore</c:v>
                </c:pt>
                <c:pt idx="1">
                  <c:v>Chennai</c:v>
                </c:pt>
                <c:pt idx="2">
                  <c:v>Delhi</c:v>
                </c:pt>
                <c:pt idx="3">
                  <c:v>Hyderabad</c:v>
                </c:pt>
                <c:pt idx="4">
                  <c:v>Kolkata</c:v>
                </c:pt>
                <c:pt idx="5">
                  <c:v>Mumbai</c:v>
                </c:pt>
                <c:pt idx="6">
                  <c:v>Pune</c:v>
                </c:pt>
              </c:strCache>
            </c:strRef>
          </c:cat>
          <c:val>
            <c:numRef>
              <c:f>'Pivot Analysis'!$B$22:$B$29</c:f>
              <c:numCache>
                <c:formatCode>0.0</c:formatCode>
                <c:ptCount val="7"/>
                <c:pt idx="0">
                  <c:v>4.5</c:v>
                </c:pt>
                <c:pt idx="1">
                  <c:v>9.6666666666666661</c:v>
                </c:pt>
                <c:pt idx="2">
                  <c:v>6</c:v>
                </c:pt>
                <c:pt idx="3">
                  <c:v>3</c:v>
                </c:pt>
                <c:pt idx="4">
                  <c:v>4.5</c:v>
                </c:pt>
                <c:pt idx="5">
                  <c:v>9.6666666666666661</c:v>
                </c:pt>
                <c:pt idx="6">
                  <c:v>5.833333333333333</c:v>
                </c:pt>
              </c:numCache>
            </c:numRef>
          </c:val>
          <c:extLst>
            <c:ext xmlns:c16="http://schemas.microsoft.com/office/drawing/2014/chart" uri="{C3380CC4-5D6E-409C-BE32-E72D297353CC}">
              <c16:uniqueId val="{00000000-C3FB-48BE-8730-C1099DF818E0}"/>
            </c:ext>
          </c:extLst>
        </c:ser>
        <c:dLbls>
          <c:showLegendKey val="0"/>
          <c:showVal val="0"/>
          <c:showCatName val="0"/>
          <c:showSerName val="0"/>
          <c:showPercent val="0"/>
          <c:showBubbleSize val="0"/>
        </c:dLbls>
        <c:gapWidth val="219"/>
        <c:overlap val="-27"/>
        <c:axId val="290577168"/>
        <c:axId val="290573840"/>
      </c:barChart>
      <c:catAx>
        <c:axId val="290577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0573840"/>
        <c:crosses val="autoZero"/>
        <c:auto val="1"/>
        <c:lblAlgn val="ctr"/>
        <c:lblOffset val="100"/>
        <c:noMultiLvlLbl val="0"/>
      </c:catAx>
      <c:valAx>
        <c:axId val="29057384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0577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[Logistics.xlsx]Pivot Analysis!PivotTable7</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Orders by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'Pivot Analysis'!$B$33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625-46A4-BED4-4938598B983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625-46A4-BED4-4938598B983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625-46A4-BED4-4938598B983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625-46A4-BED4-4938598B983E}"/>
              </c:ext>
            </c:extLst>
          </c:dPt>
          <c:cat>
            <c:strRef>
              <c:f>'Pivot Analysis'!$A$34:$A$38</c:f>
              <c:strCache>
                <c:ptCount val="4"/>
                <c:pt idx="0">
                  <c:v>Cancelled</c:v>
                </c:pt>
                <c:pt idx="1">
                  <c:v>Delivered</c:v>
                </c:pt>
                <c:pt idx="2">
                  <c:v>Pending</c:v>
                </c:pt>
                <c:pt idx="3">
                  <c:v>Returned</c:v>
                </c:pt>
              </c:strCache>
            </c:strRef>
          </c:cat>
          <c:val>
            <c:numRef>
              <c:f>'Pivot Analysis'!$B$34:$B$38</c:f>
              <c:numCache>
                <c:formatCode>0</c:formatCode>
                <c:ptCount val="4"/>
                <c:pt idx="0">
                  <c:v>2</c:v>
                </c:pt>
                <c:pt idx="1">
                  <c:v>11</c:v>
                </c:pt>
                <c:pt idx="2">
                  <c:v>5</c:v>
                </c:pt>
                <c:pt idx="3">
                  <c:v>2</c:v>
                </c:pt>
              </c:numCache>
            </c:numRef>
          </c:val>
          <c:extLst>
            <c:ext xmlns:c16="http://schemas.microsoft.com/office/drawing/2014/chart" uri="{C3380CC4-5D6E-409C-BE32-E72D297353CC}">
              <c16:uniqueId val="{00000000-5EB7-41D9-8516-7110ADC39F1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[Logistics.xlsx]Pivot Analysis!PivotTable8</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 Mix by Order Share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'Pivot Analysis'!$B$42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E30-4239-8E81-961DFC1196F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E30-4239-8E81-961DFC1196F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E30-4239-8E81-961DFC1196F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E30-4239-8E81-961DFC1196F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E30-4239-8E81-961DFC1196F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0E30-4239-8E81-961DFC1196F6}"/>
              </c:ext>
            </c:extLst>
          </c:dPt>
          <c:cat>
            <c:strRef>
              <c:f>'Pivot Analysis'!$A$43:$A$49</c:f>
              <c:strCache>
                <c:ptCount val="6"/>
                <c:pt idx="0">
                  <c:v>Keyboard</c:v>
                </c:pt>
                <c:pt idx="1">
                  <c:v>Laptop</c:v>
                </c:pt>
                <c:pt idx="2">
                  <c:v>Monitor</c:v>
                </c:pt>
                <c:pt idx="3">
                  <c:v>Mouse</c:v>
                </c:pt>
                <c:pt idx="4">
                  <c:v>Phone</c:v>
                </c:pt>
                <c:pt idx="5">
                  <c:v>Tablet</c:v>
                </c:pt>
              </c:strCache>
            </c:strRef>
          </c:cat>
          <c:val>
            <c:numRef>
              <c:f>'Pivot Analysis'!$B$43:$B$49</c:f>
              <c:numCache>
                <c:formatCode>0.0%</c:formatCode>
                <c:ptCount val="6"/>
                <c:pt idx="0">
                  <c:v>0.15</c:v>
                </c:pt>
                <c:pt idx="1">
                  <c:v>0.25</c:v>
                </c:pt>
                <c:pt idx="2">
                  <c:v>0.15</c:v>
                </c:pt>
                <c:pt idx="3">
                  <c:v>0.2</c:v>
                </c:pt>
                <c:pt idx="4">
                  <c:v>0.15</c:v>
                </c:pt>
                <c:pt idx="5">
                  <c:v>0.1</c:v>
                </c:pt>
              </c:numCache>
            </c:numRef>
          </c:val>
          <c:extLst>
            <c:ext xmlns:c16="http://schemas.microsoft.com/office/drawing/2014/chart" uri="{C3380CC4-5D6E-409C-BE32-E72D297353CC}">
              <c16:uniqueId val="{00000000-3245-49D5-B086-86734890F85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Delivery Performance by Product</a:t>
            </a:r>
          </a:p>
        </c:rich>
      </c:tx>
      <c:layout>
        <c:manualLayout>
          <c:xMode val="edge"/>
          <c:yMode val="edge"/>
          <c:x val="0.25258873890763661"/>
          <c:y val="7.8801033901180609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6"/>
              <c:pt idx="0">
                <c:v>Keyboard</c:v>
              </c:pt>
              <c:pt idx="1">
                <c:v>Laptop</c:v>
              </c:pt>
              <c:pt idx="2">
                <c:v>Monitor</c:v>
              </c:pt>
              <c:pt idx="3">
                <c:v>Mouse</c:v>
              </c:pt>
              <c:pt idx="4">
                <c:v>Phone</c:v>
              </c:pt>
              <c:pt idx="5">
                <c:v>Tablet</c:v>
              </c:pt>
            </c:strLit>
          </c:cat>
          <c:val>
            <c:numLit>
              <c:formatCode>General</c:formatCode>
              <c:ptCount val="6"/>
              <c:pt idx="0">
                <c:v>4.333333333333333</c:v>
              </c:pt>
              <c:pt idx="1">
                <c:v>5.8</c:v>
              </c:pt>
              <c:pt idx="2">
                <c:v>3</c:v>
              </c:pt>
              <c:pt idx="3">
                <c:v>10.75</c:v>
              </c:pt>
              <c:pt idx="4">
                <c:v>6</c:v>
              </c:pt>
              <c:pt idx="5">
                <c:v>10</c:v>
              </c:pt>
            </c:numLit>
          </c:val>
          <c:extLst>
            <c:ext xmlns:c16="http://schemas.microsoft.com/office/drawing/2014/chart" uri="{C3380CC4-5D6E-409C-BE32-E72D297353CC}">
              <c16:uniqueId val="{00000000-B906-45BA-AD91-EC7B4943C282}"/>
            </c:ext>
          </c:extLst>
        </c:ser>
        <c:dLbls>
          <c:showLegendKey val="0"/>
          <c:showVal val="0"/>
          <c:showCatName val="0"/>
          <c:showSerName val="0"/>
          <c:showPercent val="0"/>
          <c:showBubbleSize val="0"/>
        </c:dLbls>
        <c:gapWidth val="100"/>
        <c:overlap val="-24"/>
        <c:axId val="1373149392"/>
        <c:axId val="1373149808"/>
      </c:barChart>
      <c:catAx>
        <c:axId val="1373149392"/>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3149808"/>
        <c:crosses val="autoZero"/>
        <c:auto val="1"/>
        <c:lblAlgn val="ctr"/>
        <c:lblOffset val="100"/>
        <c:noMultiLvlLbl val="0"/>
      </c:catAx>
      <c:valAx>
        <c:axId val="1373149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31493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Delivery Performance by City</a:t>
            </a:r>
          </a:p>
        </c:rich>
      </c:tx>
      <c:layout>
        <c:manualLayout>
          <c:xMode val="edge"/>
          <c:yMode val="edge"/>
          <c:x val="0.288362443751571"/>
          <c:y val="9.5419847328244281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7"/>
              <c:pt idx="0">
                <c:v>Bangalore</c:v>
              </c:pt>
              <c:pt idx="1">
                <c:v>Chennai</c:v>
              </c:pt>
              <c:pt idx="2">
                <c:v>Delhi</c:v>
              </c:pt>
              <c:pt idx="3">
                <c:v>Hyderabad</c:v>
              </c:pt>
              <c:pt idx="4">
                <c:v>Kolkata</c:v>
              </c:pt>
              <c:pt idx="5">
                <c:v>Mumbai</c:v>
              </c:pt>
              <c:pt idx="6">
                <c:v>Pune</c:v>
              </c:pt>
            </c:strLit>
          </c:cat>
          <c:val>
            <c:numLit>
              <c:formatCode>General</c:formatCode>
              <c:ptCount val="7"/>
              <c:pt idx="0">
                <c:v>4.5</c:v>
              </c:pt>
              <c:pt idx="1">
                <c:v>9.6666666666666661</c:v>
              </c:pt>
              <c:pt idx="2">
                <c:v>6</c:v>
              </c:pt>
              <c:pt idx="3">
                <c:v>3</c:v>
              </c:pt>
              <c:pt idx="4">
                <c:v>4.5</c:v>
              </c:pt>
              <c:pt idx="5">
                <c:v>9.6666666666666661</c:v>
              </c:pt>
              <c:pt idx="6">
                <c:v>5.833333333333333</c:v>
              </c:pt>
            </c:numLit>
          </c:val>
          <c:extLst>
            <c:ext xmlns:c16="http://schemas.microsoft.com/office/drawing/2014/chart" uri="{C3380CC4-5D6E-409C-BE32-E72D297353CC}">
              <c16:uniqueId val="{00000000-C127-42FE-BA36-9E77D9F4F132}"/>
            </c:ext>
          </c:extLst>
        </c:ser>
        <c:dLbls>
          <c:showLegendKey val="0"/>
          <c:showVal val="0"/>
          <c:showCatName val="0"/>
          <c:showSerName val="0"/>
          <c:showPercent val="0"/>
          <c:showBubbleSize val="0"/>
        </c:dLbls>
        <c:gapWidth val="150"/>
        <c:overlap val="100"/>
        <c:axId val="1466256416"/>
        <c:axId val="1466257664"/>
      </c:barChart>
      <c:catAx>
        <c:axId val="1466256416"/>
        <c:scaling>
          <c:orientation val="minMax"/>
        </c:scaling>
        <c:delete val="0"/>
        <c:axPos val="l"/>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6257664"/>
        <c:crosses val="autoZero"/>
        <c:auto val="1"/>
        <c:lblAlgn val="ctr"/>
        <c:lblOffset val="100"/>
        <c:noMultiLvlLbl val="0"/>
      </c:catAx>
      <c:valAx>
        <c:axId val="14662576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62564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a:defRPr sz="1600" b="1" i="0" u="none" strike="noStrike" kern="1200" baseline="0">
                <a:solidFill>
                  <a:schemeClr val="tx1">
                    <a:lumMod val="65000"/>
                    <a:lumOff val="35000"/>
                  </a:schemeClr>
                </a:solidFill>
                <a:latin typeface="+mn-lt"/>
                <a:ea typeface="+mn-ea"/>
                <a:cs typeface="+mn-cs"/>
              </a:defRPr>
            </a:pPr>
            <a:r>
              <a:rPr lang="en-US"/>
              <a:t>Product Mix by Order Share</a:t>
            </a:r>
          </a:p>
        </c:rich>
      </c:tx>
      <c:layout>
        <c:manualLayout>
          <c:xMode val="edge"/>
          <c:yMode val="edge"/>
          <c:x val="0.26619206139808438"/>
          <c:y val="7.662835249042145E-2"/>
        </c:manualLayout>
      </c:layout>
      <c:overlay val="0"/>
      <c:spPr>
        <a:noFill/>
        <a:ln>
          <a:noFill/>
        </a:ln>
        <a:effectLst/>
      </c:spPr>
      <c:txPr>
        <a:bodyPr rot="0" spcFirstLastPara="1" vertOverflow="ellipsis" vert="horz" wrap="square" anchor="ctr" anchorCtr="1"/>
        <a:lstStyle/>
        <a:p>
          <a:pPr algn="ct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6"/>
              <c:pt idx="0">
                <c:v>Keyboard</c:v>
              </c:pt>
              <c:pt idx="1">
                <c:v>Laptop</c:v>
              </c:pt>
              <c:pt idx="2">
                <c:v>Monitor</c:v>
              </c:pt>
              <c:pt idx="3">
                <c:v>Mouse</c:v>
              </c:pt>
              <c:pt idx="4">
                <c:v>Phone</c:v>
              </c:pt>
              <c:pt idx="5">
                <c:v>Tablet</c:v>
              </c:pt>
            </c:strLit>
          </c:cat>
          <c:val>
            <c:numLit>
              <c:formatCode>General</c:formatCode>
              <c:ptCount val="6"/>
              <c:pt idx="0">
                <c:v>0.15</c:v>
              </c:pt>
              <c:pt idx="1">
                <c:v>0.25</c:v>
              </c:pt>
              <c:pt idx="2">
                <c:v>0.15</c:v>
              </c:pt>
              <c:pt idx="3">
                <c:v>0.2</c:v>
              </c:pt>
              <c:pt idx="4">
                <c:v>0.15</c:v>
              </c:pt>
              <c:pt idx="5">
                <c:v>0.1</c:v>
              </c:pt>
            </c:numLit>
          </c:val>
          <c:extLst>
            <c:ext xmlns:c16="http://schemas.microsoft.com/office/drawing/2014/chart" uri="{C3380CC4-5D6E-409C-BE32-E72D297353CC}">
              <c16:uniqueId val="{00000000-ED79-4B92-BB63-EAFEA21D108E}"/>
            </c:ext>
          </c:extLst>
        </c:ser>
        <c:dLbls>
          <c:showLegendKey val="0"/>
          <c:showVal val="0"/>
          <c:showCatName val="0"/>
          <c:showSerName val="0"/>
          <c:showPercent val="0"/>
          <c:showBubbleSize val="0"/>
        </c:dLbls>
        <c:gapWidth val="100"/>
        <c:overlap val="-24"/>
        <c:axId val="1424831952"/>
        <c:axId val="1424833616"/>
      </c:barChart>
      <c:catAx>
        <c:axId val="142483195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833616"/>
        <c:crosses val="autoZero"/>
        <c:auto val="1"/>
        <c:lblAlgn val="ctr"/>
        <c:lblOffset val="100"/>
        <c:noMultiLvlLbl val="0"/>
      </c:catAx>
      <c:valAx>
        <c:axId val="1424833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8319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a:defRPr sz="1600" b="1" i="0" u="none" strike="noStrike" kern="1200" baseline="0">
                <a:solidFill>
                  <a:schemeClr val="tx1">
                    <a:lumMod val="65000"/>
                    <a:lumOff val="35000"/>
                  </a:schemeClr>
                </a:solidFill>
                <a:latin typeface="+mn-lt"/>
                <a:ea typeface="+mn-ea"/>
                <a:cs typeface="+mn-cs"/>
              </a:defRPr>
            </a:pPr>
            <a:r>
              <a:rPr lang="en-US" b="1"/>
              <a:t>Orders by Status</a:t>
            </a:r>
          </a:p>
        </c:rich>
      </c:tx>
      <c:layout>
        <c:manualLayout>
          <c:xMode val="edge"/>
          <c:yMode val="edge"/>
          <c:x val="0.35460510617990931"/>
          <c:y val="0.1069182389937107"/>
        </c:manualLayout>
      </c:layout>
      <c:overlay val="0"/>
      <c:spPr>
        <a:noFill/>
        <a:ln>
          <a:noFill/>
        </a:ln>
        <a:effectLst/>
      </c:spPr>
      <c:txPr>
        <a:bodyPr rot="0" spcFirstLastPara="1" vertOverflow="ellipsis" vert="horz" wrap="square" anchor="ctr" anchorCtr="1"/>
        <a:lstStyle/>
        <a:p>
          <a:pPr algn="ct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pivotFmt>
      <c:pivotFmt>
        <c:idx val="12"/>
      </c:pivotFmt>
      <c:pivotFmt>
        <c:idx val="13"/>
      </c:pivotFmt>
      <c:pivotFmt>
        <c:idx val="14"/>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94740034127588"/>
          <c:y val="0.25490566037735851"/>
          <c:w val="0.76875338363383428"/>
          <c:h val="0.60548259297776452"/>
        </c:manualLayout>
      </c:layout>
      <c:barChart>
        <c:barDir val="bar"/>
        <c:grouping val="cluster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0-8F05-4CCE-9746-9CB8F285405C}"/>
              </c:ext>
            </c:extLst>
          </c:dPt>
          <c:dPt>
            <c:idx val="1"/>
            <c:invertIfNegative val="0"/>
            <c:bubble3D val="0"/>
            <c:extLst>
              <c:ext xmlns:c16="http://schemas.microsoft.com/office/drawing/2014/chart" uri="{C3380CC4-5D6E-409C-BE32-E72D297353CC}">
                <c16:uniqueId val="{00000001-8F05-4CCE-9746-9CB8F285405C}"/>
              </c:ext>
            </c:extLst>
          </c:dPt>
          <c:dPt>
            <c:idx val="2"/>
            <c:invertIfNegative val="0"/>
            <c:bubble3D val="0"/>
            <c:extLst>
              <c:ext xmlns:c16="http://schemas.microsoft.com/office/drawing/2014/chart" uri="{C3380CC4-5D6E-409C-BE32-E72D297353CC}">
                <c16:uniqueId val="{00000002-8F05-4CCE-9746-9CB8F285405C}"/>
              </c:ext>
            </c:extLst>
          </c:dPt>
          <c:dPt>
            <c:idx val="3"/>
            <c:invertIfNegative val="0"/>
            <c:bubble3D val="0"/>
            <c:extLst>
              <c:ext xmlns:c16="http://schemas.microsoft.com/office/drawing/2014/chart" uri="{C3380CC4-5D6E-409C-BE32-E72D297353CC}">
                <c16:uniqueId val="{00000003-8F05-4CCE-9746-9CB8F285405C}"/>
              </c:ext>
            </c:extLst>
          </c:dPt>
          <c:cat>
            <c:strLit>
              <c:ptCount val="4"/>
              <c:pt idx="0">
                <c:v>Cancelled</c:v>
              </c:pt>
              <c:pt idx="1">
                <c:v>Delivered</c:v>
              </c:pt>
              <c:pt idx="2">
                <c:v>Pending</c:v>
              </c:pt>
              <c:pt idx="3">
                <c:v>Returned</c:v>
              </c:pt>
            </c:strLit>
          </c:cat>
          <c:val>
            <c:numLit>
              <c:formatCode>General</c:formatCode>
              <c:ptCount val="4"/>
              <c:pt idx="0">
                <c:v>2</c:v>
              </c:pt>
              <c:pt idx="1">
                <c:v>11</c:v>
              </c:pt>
              <c:pt idx="2">
                <c:v>5</c:v>
              </c:pt>
              <c:pt idx="3">
                <c:v>2</c:v>
              </c:pt>
            </c:numLit>
          </c:val>
          <c:extLst>
            <c:ext xmlns:c16="http://schemas.microsoft.com/office/drawing/2014/chart" uri="{C3380CC4-5D6E-409C-BE32-E72D297353CC}">
              <c16:uniqueId val="{00000004-8F05-4CCE-9746-9CB8F285405C}"/>
            </c:ext>
          </c:extLst>
        </c:ser>
        <c:dLbls>
          <c:showLegendKey val="0"/>
          <c:showVal val="0"/>
          <c:showCatName val="0"/>
          <c:showSerName val="0"/>
          <c:showPercent val="0"/>
          <c:showBubbleSize val="0"/>
        </c:dLbls>
        <c:gapWidth val="115"/>
        <c:overlap val="-20"/>
        <c:axId val="1264624272"/>
        <c:axId val="1264628432"/>
      </c:barChart>
      <c:valAx>
        <c:axId val="12646284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4624272"/>
        <c:crosses val="autoZero"/>
        <c:crossBetween val="between"/>
      </c:valAx>
      <c:catAx>
        <c:axId val="126462427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4628432"/>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_rels/drawing3.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chart" Target="../charts/chart12.xml"/><Relationship Id="rId7" Type="http://schemas.openxmlformats.org/officeDocument/2006/relationships/image" Target="../media/image3.png"/><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image" Target="../media/image2.png"/><Relationship Id="rId5" Type="http://schemas.openxmlformats.org/officeDocument/2006/relationships/image" Target="../media/image1.png"/><Relationship Id="rId4" Type="http://schemas.openxmlformats.org/officeDocument/2006/relationships/chart" Target="../charts/chart13.xml"/><Relationship Id="rId9"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5</xdr:col>
      <xdr:colOff>988060</xdr:colOff>
      <xdr:row>7</xdr:row>
      <xdr:rowOff>53340</xdr:rowOff>
    </xdr:from>
    <xdr:to>
      <xdr:col>11</xdr:col>
      <xdr:colOff>647700</xdr:colOff>
      <xdr:row>23</xdr:row>
      <xdr:rowOff>175260</xdr:rowOff>
    </xdr:to>
    <xdr:graphicFrame macro="">
      <xdr:nvGraphicFramePr>
        <xdr:cNvPr id="2" name="chtCityOrders">
          <a:extLst>
            <a:ext uri="{FF2B5EF4-FFF2-40B4-BE49-F238E27FC236}">
              <a16:creationId xmlns:a16="http://schemas.microsoft.com/office/drawing/2014/main" id="{39652FE9-6188-4B09-9C77-B39CC674D9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988060</xdr:colOff>
      <xdr:row>26</xdr:row>
      <xdr:rowOff>71120</xdr:rowOff>
    </xdr:from>
    <xdr:to>
      <xdr:col>11</xdr:col>
      <xdr:colOff>647700</xdr:colOff>
      <xdr:row>43</xdr:row>
      <xdr:rowOff>10160</xdr:rowOff>
    </xdr:to>
    <xdr:graphicFrame macro="">
      <xdr:nvGraphicFramePr>
        <xdr:cNvPr id="4" name="chtStatusMix">
          <a:extLst>
            <a:ext uri="{FF2B5EF4-FFF2-40B4-BE49-F238E27FC236}">
              <a16:creationId xmlns:a16="http://schemas.microsoft.com/office/drawing/2014/main" id="{32ACDA86-0D6C-4E43-A328-2E171E1CF9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965200</xdr:colOff>
      <xdr:row>26</xdr:row>
      <xdr:rowOff>71120</xdr:rowOff>
    </xdr:from>
    <xdr:to>
      <xdr:col>20</xdr:col>
      <xdr:colOff>487680</xdr:colOff>
      <xdr:row>43</xdr:row>
      <xdr:rowOff>10160</xdr:rowOff>
    </xdr:to>
    <xdr:graphicFrame macro="">
      <xdr:nvGraphicFramePr>
        <xdr:cNvPr id="5" name="chtProductOrdersQty">
          <a:extLst>
            <a:ext uri="{FF2B5EF4-FFF2-40B4-BE49-F238E27FC236}">
              <a16:creationId xmlns:a16="http://schemas.microsoft.com/office/drawing/2014/main" id="{1FC99325-9A95-4199-B3FF-001B079CA9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988060</xdr:colOff>
      <xdr:row>45</xdr:row>
      <xdr:rowOff>152400</xdr:rowOff>
    </xdr:from>
    <xdr:to>
      <xdr:col>20</xdr:col>
      <xdr:colOff>487680</xdr:colOff>
      <xdr:row>66</xdr:row>
      <xdr:rowOff>121920</xdr:rowOff>
    </xdr:to>
    <xdr:graphicFrame macro="">
      <xdr:nvGraphicFramePr>
        <xdr:cNvPr id="6" name="chtCityStatus">
          <a:extLst>
            <a:ext uri="{FF2B5EF4-FFF2-40B4-BE49-F238E27FC236}">
              <a16:creationId xmlns:a16="http://schemas.microsoft.com/office/drawing/2014/main" id="{E3A9B3D5-BD00-4FCE-9569-5A0779FE04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965200</xdr:colOff>
      <xdr:row>7</xdr:row>
      <xdr:rowOff>53340</xdr:rowOff>
    </xdr:from>
    <xdr:to>
      <xdr:col>20</xdr:col>
      <xdr:colOff>487680</xdr:colOff>
      <xdr:row>23</xdr:row>
      <xdr:rowOff>175260</xdr:rowOff>
    </xdr:to>
    <xdr:graphicFrame macro="">
      <xdr:nvGraphicFramePr>
        <xdr:cNvPr id="7" name="chtSpeedBands">
          <a:extLst>
            <a:ext uri="{FF2B5EF4-FFF2-40B4-BE49-F238E27FC236}">
              <a16:creationId xmlns:a16="http://schemas.microsoft.com/office/drawing/2014/main" id="{A3556FBB-37B4-46FC-B3F1-7A69DC2D6E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205740</xdr:colOff>
      <xdr:row>0</xdr:row>
      <xdr:rowOff>175261</xdr:rowOff>
    </xdr:from>
    <xdr:to>
      <xdr:col>11</xdr:col>
      <xdr:colOff>1005840</xdr:colOff>
      <xdr:row>12</xdr:row>
      <xdr:rowOff>144781</xdr:rowOff>
    </xdr:to>
    <mc:AlternateContent xmlns:mc="http://schemas.openxmlformats.org/markup-compatibility/2006" xmlns:a14="http://schemas.microsoft.com/office/drawing/2010/main">
      <mc:Choice Requires="a14">
        <xdr:graphicFrame macro="">
          <xdr:nvGraphicFramePr>
            <xdr:cNvPr id="6" name="City 1">
              <a:extLst>
                <a:ext uri="{FF2B5EF4-FFF2-40B4-BE49-F238E27FC236}">
                  <a16:creationId xmlns:a16="http://schemas.microsoft.com/office/drawing/2014/main" id="{AE21AE49-697A-43AE-9605-9C4E2D588852}"/>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13586460" y="175261"/>
              <a:ext cx="2004060" cy="2247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0</xdr:colOff>
      <xdr:row>8</xdr:row>
      <xdr:rowOff>0</xdr:rowOff>
    </xdr:from>
    <xdr:to>
      <xdr:col>10</xdr:col>
      <xdr:colOff>0</xdr:colOff>
      <xdr:row>19</xdr:row>
      <xdr:rowOff>0</xdr:rowOff>
    </xdr:to>
    <xdr:graphicFrame macro="">
      <xdr:nvGraphicFramePr>
        <xdr:cNvPr id="7" name="chtPivotProductDelivery">
          <a:extLst>
            <a:ext uri="{FF2B5EF4-FFF2-40B4-BE49-F238E27FC236}">
              <a16:creationId xmlns:a16="http://schemas.microsoft.com/office/drawing/2014/main" id="{E5F37558-0DC6-4193-8752-AAE262F2DC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20</xdr:row>
      <xdr:rowOff>0</xdr:rowOff>
    </xdr:from>
    <xdr:to>
      <xdr:col>10</xdr:col>
      <xdr:colOff>0</xdr:colOff>
      <xdr:row>31</xdr:row>
      <xdr:rowOff>0</xdr:rowOff>
    </xdr:to>
    <xdr:graphicFrame macro="">
      <xdr:nvGraphicFramePr>
        <xdr:cNvPr id="8" name="chtPivotCityDelivery">
          <a:extLst>
            <a:ext uri="{FF2B5EF4-FFF2-40B4-BE49-F238E27FC236}">
              <a16:creationId xmlns:a16="http://schemas.microsoft.com/office/drawing/2014/main" id="{B9A9DE26-7EB1-4FED-99F2-70CB0DEEDD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0</xdr:colOff>
      <xdr:row>32</xdr:row>
      <xdr:rowOff>0</xdr:rowOff>
    </xdr:from>
    <xdr:to>
      <xdr:col>10</xdr:col>
      <xdr:colOff>0</xdr:colOff>
      <xdr:row>41</xdr:row>
      <xdr:rowOff>0</xdr:rowOff>
    </xdr:to>
    <xdr:graphicFrame macro="">
      <xdr:nvGraphicFramePr>
        <xdr:cNvPr id="9" name="chtPivotStatusMix">
          <a:extLst>
            <a:ext uri="{FF2B5EF4-FFF2-40B4-BE49-F238E27FC236}">
              <a16:creationId xmlns:a16="http://schemas.microsoft.com/office/drawing/2014/main" id="{5B6E390B-9540-444B-9D03-891F01A1D8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0</xdr:colOff>
      <xdr:row>42</xdr:row>
      <xdr:rowOff>0</xdr:rowOff>
    </xdr:from>
    <xdr:to>
      <xdr:col>10</xdr:col>
      <xdr:colOff>0</xdr:colOff>
      <xdr:row>52</xdr:row>
      <xdr:rowOff>0</xdr:rowOff>
    </xdr:to>
    <xdr:graphicFrame macro="">
      <xdr:nvGraphicFramePr>
        <xdr:cNvPr id="10" name="chtPivotProductMix">
          <a:extLst>
            <a:ext uri="{FF2B5EF4-FFF2-40B4-BE49-F238E27FC236}">
              <a16:creationId xmlns:a16="http://schemas.microsoft.com/office/drawing/2014/main" id="{F6738EBB-9069-4C1A-A251-46550BE16C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75318</xdr:colOff>
      <xdr:row>0</xdr:row>
      <xdr:rowOff>82176</xdr:rowOff>
    </xdr:from>
    <xdr:to>
      <xdr:col>23</xdr:col>
      <xdr:colOff>346518</xdr:colOff>
      <xdr:row>29</xdr:row>
      <xdr:rowOff>114300</xdr:rowOff>
    </xdr:to>
    <xdr:sp macro="" textlink="">
      <xdr:nvSpPr>
        <xdr:cNvPr id="2" name="Rectangle: Rounded Corners 1">
          <a:extLst>
            <a:ext uri="{FF2B5EF4-FFF2-40B4-BE49-F238E27FC236}">
              <a16:creationId xmlns:a16="http://schemas.microsoft.com/office/drawing/2014/main" id="{3C21F6B9-55B7-4838-83B2-9E14095B7CEA}"/>
            </a:ext>
          </a:extLst>
        </xdr:cNvPr>
        <xdr:cNvSpPr/>
      </xdr:nvSpPr>
      <xdr:spPr>
        <a:xfrm>
          <a:off x="75318" y="82176"/>
          <a:ext cx="14292000" cy="5335644"/>
        </a:xfrm>
        <a:prstGeom prst="roundRect">
          <a:avLst>
            <a:gd name="adj" fmla="val 904"/>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144780</xdr:colOff>
      <xdr:row>1</xdr:row>
      <xdr:rowOff>38100</xdr:rowOff>
    </xdr:from>
    <xdr:to>
      <xdr:col>3</xdr:col>
      <xdr:colOff>556260</xdr:colOff>
      <xdr:row>29</xdr:row>
      <xdr:rowOff>30480</xdr:rowOff>
    </xdr:to>
    <xdr:sp macro="" textlink="">
      <xdr:nvSpPr>
        <xdr:cNvPr id="3" name="Rectangle: Rounded Corners 2">
          <a:extLst>
            <a:ext uri="{FF2B5EF4-FFF2-40B4-BE49-F238E27FC236}">
              <a16:creationId xmlns:a16="http://schemas.microsoft.com/office/drawing/2014/main" id="{39C3A9EC-EB57-4598-A4D1-617B1E1F816A}"/>
            </a:ext>
          </a:extLst>
        </xdr:cNvPr>
        <xdr:cNvSpPr/>
      </xdr:nvSpPr>
      <xdr:spPr>
        <a:xfrm>
          <a:off x="144780" y="220980"/>
          <a:ext cx="2240280" cy="5113020"/>
        </a:xfrm>
        <a:prstGeom prst="roundRect">
          <a:avLst>
            <a:gd name="adj" fmla="val 1643"/>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solidFill>
              <a:schemeClr val="tx1">
                <a:lumMod val="95000"/>
                <a:lumOff val="5000"/>
              </a:schemeClr>
            </a:solidFill>
          </a:endParaRPr>
        </a:p>
      </xdr:txBody>
    </xdr:sp>
    <xdr:clientData/>
  </xdr:twoCellAnchor>
  <xdr:twoCellAnchor>
    <xdr:from>
      <xdr:col>4</xdr:col>
      <xdr:colOff>53340</xdr:colOff>
      <xdr:row>1</xdr:row>
      <xdr:rowOff>30480</xdr:rowOff>
    </xdr:from>
    <xdr:to>
      <xdr:col>7</xdr:col>
      <xdr:colOff>384540</xdr:colOff>
      <xdr:row>7</xdr:row>
      <xdr:rowOff>15240</xdr:rowOff>
    </xdr:to>
    <xdr:sp macro="" textlink="">
      <xdr:nvSpPr>
        <xdr:cNvPr id="4" name="Rectangle: Rounded Corners 3">
          <a:extLst>
            <a:ext uri="{FF2B5EF4-FFF2-40B4-BE49-F238E27FC236}">
              <a16:creationId xmlns:a16="http://schemas.microsoft.com/office/drawing/2014/main" id="{392B2B12-6C44-4FEA-9865-89852FEFE3EF}"/>
            </a:ext>
          </a:extLst>
        </xdr:cNvPr>
        <xdr:cNvSpPr/>
      </xdr:nvSpPr>
      <xdr:spPr>
        <a:xfrm>
          <a:off x="2491740" y="213360"/>
          <a:ext cx="2160000" cy="1082040"/>
        </a:xfrm>
        <a:prstGeom prst="roundRect">
          <a:avLst>
            <a:gd name="adj" fmla="val 7512"/>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i="0" u="none" strike="noStrike">
            <a:solidFill>
              <a:srgbClr val="000000"/>
            </a:solidFill>
            <a:latin typeface="Calibri"/>
            <a:ea typeface="Calibri"/>
            <a:cs typeface="Calibri"/>
          </a:endParaRPr>
        </a:p>
      </xdr:txBody>
    </xdr:sp>
    <xdr:clientData/>
  </xdr:twoCellAnchor>
  <xdr:twoCellAnchor>
    <xdr:from>
      <xdr:col>7</xdr:col>
      <xdr:colOff>594360</xdr:colOff>
      <xdr:row>1</xdr:row>
      <xdr:rowOff>45720</xdr:rowOff>
    </xdr:from>
    <xdr:to>
      <xdr:col>11</xdr:col>
      <xdr:colOff>315960</xdr:colOff>
      <xdr:row>7</xdr:row>
      <xdr:rowOff>30480</xdr:rowOff>
    </xdr:to>
    <xdr:sp macro="" textlink="">
      <xdr:nvSpPr>
        <xdr:cNvPr id="5" name="Rectangle: Rounded Corners 4">
          <a:extLst>
            <a:ext uri="{FF2B5EF4-FFF2-40B4-BE49-F238E27FC236}">
              <a16:creationId xmlns:a16="http://schemas.microsoft.com/office/drawing/2014/main" id="{6B2770B0-9DB2-4BF8-8239-A95D44DE4853}"/>
            </a:ext>
          </a:extLst>
        </xdr:cNvPr>
        <xdr:cNvSpPr/>
      </xdr:nvSpPr>
      <xdr:spPr>
        <a:xfrm>
          <a:off x="4861560" y="228600"/>
          <a:ext cx="2160000" cy="1082040"/>
        </a:xfrm>
        <a:prstGeom prst="roundRect">
          <a:avLst>
            <a:gd name="adj" fmla="val 7512"/>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563880</xdr:colOff>
      <xdr:row>1</xdr:row>
      <xdr:rowOff>45720</xdr:rowOff>
    </xdr:from>
    <xdr:to>
      <xdr:col>15</xdr:col>
      <xdr:colOff>285480</xdr:colOff>
      <xdr:row>7</xdr:row>
      <xdr:rowOff>30480</xdr:rowOff>
    </xdr:to>
    <xdr:sp macro="" textlink="">
      <xdr:nvSpPr>
        <xdr:cNvPr id="6" name="Rectangle: Rounded Corners 5">
          <a:extLst>
            <a:ext uri="{FF2B5EF4-FFF2-40B4-BE49-F238E27FC236}">
              <a16:creationId xmlns:a16="http://schemas.microsoft.com/office/drawing/2014/main" id="{C16F8475-8D09-4025-AC18-F1CF4FAD6B24}"/>
            </a:ext>
          </a:extLst>
        </xdr:cNvPr>
        <xdr:cNvSpPr/>
      </xdr:nvSpPr>
      <xdr:spPr>
        <a:xfrm>
          <a:off x="7269480" y="228600"/>
          <a:ext cx="2160000" cy="1082040"/>
        </a:xfrm>
        <a:prstGeom prst="roundRect">
          <a:avLst>
            <a:gd name="adj" fmla="val 7512"/>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510540</xdr:colOff>
      <xdr:row>1</xdr:row>
      <xdr:rowOff>38100</xdr:rowOff>
    </xdr:from>
    <xdr:to>
      <xdr:col>19</xdr:col>
      <xdr:colOff>232140</xdr:colOff>
      <xdr:row>7</xdr:row>
      <xdr:rowOff>22860</xdr:rowOff>
    </xdr:to>
    <xdr:sp macro="" textlink="">
      <xdr:nvSpPr>
        <xdr:cNvPr id="7" name="Rectangle: Rounded Corners 6">
          <a:extLst>
            <a:ext uri="{FF2B5EF4-FFF2-40B4-BE49-F238E27FC236}">
              <a16:creationId xmlns:a16="http://schemas.microsoft.com/office/drawing/2014/main" id="{A08D75CB-811F-4756-B86B-F02615B4F6FF}"/>
            </a:ext>
          </a:extLst>
        </xdr:cNvPr>
        <xdr:cNvSpPr/>
      </xdr:nvSpPr>
      <xdr:spPr>
        <a:xfrm>
          <a:off x="9654540" y="220980"/>
          <a:ext cx="2160000" cy="1082040"/>
        </a:xfrm>
        <a:prstGeom prst="roundRect">
          <a:avLst>
            <a:gd name="adj" fmla="val 7512"/>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472440</xdr:colOff>
      <xdr:row>1</xdr:row>
      <xdr:rowOff>45720</xdr:rowOff>
    </xdr:from>
    <xdr:to>
      <xdr:col>23</xdr:col>
      <xdr:colOff>194040</xdr:colOff>
      <xdr:row>7</xdr:row>
      <xdr:rowOff>30480</xdr:rowOff>
    </xdr:to>
    <xdr:sp macro="" textlink="">
      <xdr:nvSpPr>
        <xdr:cNvPr id="8" name="Rectangle: Rounded Corners 7">
          <a:extLst>
            <a:ext uri="{FF2B5EF4-FFF2-40B4-BE49-F238E27FC236}">
              <a16:creationId xmlns:a16="http://schemas.microsoft.com/office/drawing/2014/main" id="{492DBEE2-DE66-40A5-8CD6-7E94DD017C87}"/>
            </a:ext>
          </a:extLst>
        </xdr:cNvPr>
        <xdr:cNvSpPr/>
      </xdr:nvSpPr>
      <xdr:spPr>
        <a:xfrm>
          <a:off x="12054840" y="228600"/>
          <a:ext cx="2160000" cy="1082040"/>
        </a:xfrm>
        <a:prstGeom prst="roundRect">
          <a:avLst>
            <a:gd name="adj" fmla="val 7512"/>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15240</xdr:colOff>
      <xdr:row>8</xdr:row>
      <xdr:rowOff>99060</xdr:rowOff>
    </xdr:from>
    <xdr:to>
      <xdr:col>13</xdr:col>
      <xdr:colOff>360840</xdr:colOff>
      <xdr:row>18</xdr:row>
      <xdr:rowOff>70260</xdr:rowOff>
    </xdr:to>
    <xdr:sp macro="" textlink="">
      <xdr:nvSpPr>
        <xdr:cNvPr id="9" name="Rectangle: Rounded Corners 8">
          <a:extLst>
            <a:ext uri="{FF2B5EF4-FFF2-40B4-BE49-F238E27FC236}">
              <a16:creationId xmlns:a16="http://schemas.microsoft.com/office/drawing/2014/main" id="{F1065F18-59D6-482D-9304-07806E6E757B}"/>
            </a:ext>
          </a:extLst>
        </xdr:cNvPr>
        <xdr:cNvSpPr/>
      </xdr:nvSpPr>
      <xdr:spPr>
        <a:xfrm>
          <a:off x="2453640" y="1562100"/>
          <a:ext cx="5832000" cy="1800000"/>
        </a:xfrm>
        <a:prstGeom prst="roundRect">
          <a:avLst>
            <a:gd name="adj" fmla="val 7512"/>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487680</xdr:colOff>
      <xdr:row>8</xdr:row>
      <xdr:rowOff>68580</xdr:rowOff>
    </xdr:from>
    <xdr:to>
      <xdr:col>23</xdr:col>
      <xdr:colOff>223680</xdr:colOff>
      <xdr:row>18</xdr:row>
      <xdr:rowOff>39780</xdr:rowOff>
    </xdr:to>
    <xdr:sp macro="" textlink="">
      <xdr:nvSpPr>
        <xdr:cNvPr id="10" name="Rectangle: Rounded Corners 9">
          <a:extLst>
            <a:ext uri="{FF2B5EF4-FFF2-40B4-BE49-F238E27FC236}">
              <a16:creationId xmlns:a16="http://schemas.microsoft.com/office/drawing/2014/main" id="{8D21B083-03D7-4092-AEA0-1CB2A18EBA09}"/>
            </a:ext>
          </a:extLst>
        </xdr:cNvPr>
        <xdr:cNvSpPr/>
      </xdr:nvSpPr>
      <xdr:spPr>
        <a:xfrm>
          <a:off x="8412480" y="1531620"/>
          <a:ext cx="5832000" cy="1800000"/>
        </a:xfrm>
        <a:prstGeom prst="roundRect">
          <a:avLst>
            <a:gd name="adj" fmla="val 7512"/>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38100</xdr:colOff>
      <xdr:row>19</xdr:row>
      <xdr:rowOff>0</xdr:rowOff>
    </xdr:from>
    <xdr:to>
      <xdr:col>13</xdr:col>
      <xdr:colOff>383700</xdr:colOff>
      <xdr:row>28</xdr:row>
      <xdr:rowOff>154080</xdr:rowOff>
    </xdr:to>
    <xdr:sp macro="" textlink="">
      <xdr:nvSpPr>
        <xdr:cNvPr id="11" name="Rectangle: Rounded Corners 10">
          <a:extLst>
            <a:ext uri="{FF2B5EF4-FFF2-40B4-BE49-F238E27FC236}">
              <a16:creationId xmlns:a16="http://schemas.microsoft.com/office/drawing/2014/main" id="{339E64A0-F4F2-4947-B4AF-D3E9F73B3B45}"/>
            </a:ext>
          </a:extLst>
        </xdr:cNvPr>
        <xdr:cNvSpPr/>
      </xdr:nvSpPr>
      <xdr:spPr>
        <a:xfrm>
          <a:off x="2476500" y="3474720"/>
          <a:ext cx="5832000" cy="1800000"/>
        </a:xfrm>
        <a:prstGeom prst="roundRect">
          <a:avLst>
            <a:gd name="adj" fmla="val 7512"/>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502920</xdr:colOff>
      <xdr:row>19</xdr:row>
      <xdr:rowOff>7620</xdr:rowOff>
    </xdr:from>
    <xdr:to>
      <xdr:col>23</xdr:col>
      <xdr:colOff>238920</xdr:colOff>
      <xdr:row>28</xdr:row>
      <xdr:rowOff>161700</xdr:rowOff>
    </xdr:to>
    <xdr:sp macro="" textlink="">
      <xdr:nvSpPr>
        <xdr:cNvPr id="12" name="Rectangle: Rounded Corners 11">
          <a:extLst>
            <a:ext uri="{FF2B5EF4-FFF2-40B4-BE49-F238E27FC236}">
              <a16:creationId xmlns:a16="http://schemas.microsoft.com/office/drawing/2014/main" id="{33D42E9D-5480-46C8-A34B-4A8855226AC7}"/>
            </a:ext>
          </a:extLst>
        </xdr:cNvPr>
        <xdr:cNvSpPr/>
      </xdr:nvSpPr>
      <xdr:spPr>
        <a:xfrm>
          <a:off x="8427720" y="3482340"/>
          <a:ext cx="5832000" cy="1800000"/>
        </a:xfrm>
        <a:prstGeom prst="roundRect">
          <a:avLst>
            <a:gd name="adj" fmla="val 7512"/>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266700</xdr:colOff>
      <xdr:row>2</xdr:row>
      <xdr:rowOff>91440</xdr:rowOff>
    </xdr:from>
    <xdr:to>
      <xdr:col>6</xdr:col>
      <xdr:colOff>312420</xdr:colOff>
      <xdr:row>6</xdr:row>
      <xdr:rowOff>167640</xdr:rowOff>
    </xdr:to>
    <xdr:sp macro="" textlink="#REF!">
      <xdr:nvSpPr>
        <xdr:cNvPr id="13" name="Rectangle 12">
          <a:extLst>
            <a:ext uri="{FF2B5EF4-FFF2-40B4-BE49-F238E27FC236}">
              <a16:creationId xmlns:a16="http://schemas.microsoft.com/office/drawing/2014/main" id="{2BD928BD-E176-4310-98CA-5E23F2DB9C27}"/>
            </a:ext>
          </a:extLst>
        </xdr:cNvPr>
        <xdr:cNvSpPr/>
      </xdr:nvSpPr>
      <xdr:spPr>
        <a:xfrm>
          <a:off x="2705100" y="457200"/>
          <a:ext cx="1264920" cy="80772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8CA68361-6138-4683-AFB0-02B550AA56CD}" type="TxLink">
            <a:rPr lang="en-US" sz="5400" b="0" i="0" u="none" strike="noStrike">
              <a:solidFill>
                <a:schemeClr val="tx1">
                  <a:lumMod val="95000"/>
                  <a:lumOff val="5000"/>
                </a:schemeClr>
              </a:solidFill>
              <a:latin typeface="Baskerville Old Face" panose="02020602080505020303" pitchFamily="18" charset="0"/>
              <a:ea typeface="Calibri"/>
              <a:cs typeface="Calibri"/>
            </a:rPr>
            <a:pPr algn="l"/>
            <a:t>7</a:t>
          </a:fld>
          <a:endParaRPr lang="en-IN" sz="5400">
            <a:solidFill>
              <a:schemeClr val="tx1">
                <a:lumMod val="95000"/>
                <a:lumOff val="5000"/>
              </a:schemeClr>
            </a:solidFill>
            <a:latin typeface="Baskerville Old Face" panose="02020602080505020303" pitchFamily="18" charset="0"/>
          </a:endParaRPr>
        </a:p>
      </xdr:txBody>
    </xdr:sp>
    <xdr:clientData/>
  </xdr:twoCellAnchor>
  <xdr:twoCellAnchor>
    <xdr:from>
      <xdr:col>4</xdr:col>
      <xdr:colOff>182880</xdr:colOff>
      <xdr:row>1</xdr:row>
      <xdr:rowOff>15240</xdr:rowOff>
    </xdr:from>
    <xdr:to>
      <xdr:col>7</xdr:col>
      <xdr:colOff>274320</xdr:colOff>
      <xdr:row>3</xdr:row>
      <xdr:rowOff>22860</xdr:rowOff>
    </xdr:to>
    <xdr:sp macro="" textlink="#REF!">
      <xdr:nvSpPr>
        <xdr:cNvPr id="14" name="Rectangle 13">
          <a:extLst>
            <a:ext uri="{FF2B5EF4-FFF2-40B4-BE49-F238E27FC236}">
              <a16:creationId xmlns:a16="http://schemas.microsoft.com/office/drawing/2014/main" id="{C5A777F7-4D97-4748-8E6E-6C45492DB222}"/>
            </a:ext>
          </a:extLst>
        </xdr:cNvPr>
        <xdr:cNvSpPr/>
      </xdr:nvSpPr>
      <xdr:spPr>
        <a:xfrm>
          <a:off x="2621280" y="198120"/>
          <a:ext cx="1920240" cy="37338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a:solidFill>
                <a:schemeClr val="tx1">
                  <a:lumMod val="95000"/>
                  <a:lumOff val="5000"/>
                </a:schemeClr>
              </a:solidFill>
            </a:rPr>
            <a:t>Avg</a:t>
          </a:r>
          <a:r>
            <a:rPr lang="en-IN" sz="1800" baseline="0">
              <a:solidFill>
                <a:schemeClr val="tx1">
                  <a:lumMod val="95000"/>
                  <a:lumOff val="5000"/>
                </a:schemeClr>
              </a:solidFill>
            </a:rPr>
            <a:t> delivery days</a:t>
          </a:r>
          <a:endParaRPr lang="en-IN" sz="1800">
            <a:solidFill>
              <a:schemeClr val="tx1">
                <a:lumMod val="95000"/>
                <a:lumOff val="5000"/>
              </a:schemeClr>
            </a:solidFill>
          </a:endParaRPr>
        </a:p>
      </xdr:txBody>
    </xdr:sp>
    <xdr:clientData/>
  </xdr:twoCellAnchor>
  <xdr:twoCellAnchor>
    <xdr:from>
      <xdr:col>8</xdr:col>
      <xdr:colOff>144780</xdr:colOff>
      <xdr:row>2</xdr:row>
      <xdr:rowOff>99060</xdr:rowOff>
    </xdr:from>
    <xdr:to>
      <xdr:col>10</xdr:col>
      <xdr:colOff>190500</xdr:colOff>
      <xdr:row>6</xdr:row>
      <xdr:rowOff>175260</xdr:rowOff>
    </xdr:to>
    <xdr:sp macro="" textlink="#REF!">
      <xdr:nvSpPr>
        <xdr:cNvPr id="15" name="Rectangle 14">
          <a:extLst>
            <a:ext uri="{FF2B5EF4-FFF2-40B4-BE49-F238E27FC236}">
              <a16:creationId xmlns:a16="http://schemas.microsoft.com/office/drawing/2014/main" id="{327732D1-1A1B-42F8-87FF-31C004EBC9EB}"/>
            </a:ext>
          </a:extLst>
        </xdr:cNvPr>
        <xdr:cNvSpPr/>
      </xdr:nvSpPr>
      <xdr:spPr>
        <a:xfrm>
          <a:off x="5021580" y="464820"/>
          <a:ext cx="1264920" cy="80772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67A293E2-9DF7-4266-843F-B472A60DE12F}" type="TxLink">
            <a:rPr lang="en-US" sz="4800" b="0" i="0" u="none" strike="noStrike">
              <a:solidFill>
                <a:srgbClr val="000000"/>
              </a:solidFill>
              <a:latin typeface="Baskerville Old Face" panose="02020602080505020303" pitchFamily="18" charset="0"/>
              <a:ea typeface="Calibri"/>
              <a:cs typeface="Calibri"/>
            </a:rPr>
            <a:pPr algn="l"/>
            <a:t>3</a:t>
          </a:fld>
          <a:endParaRPr lang="en-IN" sz="4800">
            <a:solidFill>
              <a:schemeClr val="tx1">
                <a:lumMod val="95000"/>
                <a:lumOff val="5000"/>
              </a:schemeClr>
            </a:solidFill>
            <a:latin typeface="Baskerville Old Face" panose="02020602080505020303" pitchFamily="18" charset="0"/>
          </a:endParaRPr>
        </a:p>
      </xdr:txBody>
    </xdr:sp>
    <xdr:clientData/>
  </xdr:twoCellAnchor>
  <xdr:twoCellAnchor>
    <xdr:from>
      <xdr:col>8</xdr:col>
      <xdr:colOff>99060</xdr:colOff>
      <xdr:row>1</xdr:row>
      <xdr:rowOff>38100</xdr:rowOff>
    </xdr:from>
    <xdr:to>
      <xdr:col>11</xdr:col>
      <xdr:colOff>190500</xdr:colOff>
      <xdr:row>3</xdr:row>
      <xdr:rowOff>45720</xdr:rowOff>
    </xdr:to>
    <xdr:sp macro="" textlink="#REF!">
      <xdr:nvSpPr>
        <xdr:cNvPr id="16" name="Rectangle 15">
          <a:extLst>
            <a:ext uri="{FF2B5EF4-FFF2-40B4-BE49-F238E27FC236}">
              <a16:creationId xmlns:a16="http://schemas.microsoft.com/office/drawing/2014/main" id="{0A84430B-D925-4CFD-BF15-D3458A7FAEFF}"/>
            </a:ext>
          </a:extLst>
        </xdr:cNvPr>
        <xdr:cNvSpPr/>
      </xdr:nvSpPr>
      <xdr:spPr>
        <a:xfrm>
          <a:off x="4975860" y="220980"/>
          <a:ext cx="1920240" cy="37338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a:solidFill>
                <a:schemeClr val="tx1">
                  <a:lumMod val="95000"/>
                  <a:lumOff val="5000"/>
                </a:schemeClr>
              </a:solidFill>
            </a:rPr>
            <a:t>Avg</a:t>
          </a:r>
          <a:r>
            <a:rPr lang="en-IN" sz="1800" baseline="0">
              <a:solidFill>
                <a:schemeClr val="tx1">
                  <a:lumMod val="95000"/>
                  <a:lumOff val="5000"/>
                </a:schemeClr>
              </a:solidFill>
            </a:rPr>
            <a:t> Quantity</a:t>
          </a:r>
          <a:endParaRPr lang="en-IN" sz="1800">
            <a:solidFill>
              <a:schemeClr val="tx1">
                <a:lumMod val="95000"/>
                <a:lumOff val="5000"/>
              </a:schemeClr>
            </a:solidFill>
          </a:endParaRPr>
        </a:p>
      </xdr:txBody>
    </xdr:sp>
    <xdr:clientData/>
  </xdr:twoCellAnchor>
  <xdr:twoCellAnchor>
    <xdr:from>
      <xdr:col>12</xdr:col>
      <xdr:colOff>91440</xdr:colOff>
      <xdr:row>2</xdr:row>
      <xdr:rowOff>121920</xdr:rowOff>
    </xdr:from>
    <xdr:to>
      <xdr:col>14</xdr:col>
      <xdr:colOff>137160</xdr:colOff>
      <xdr:row>7</xdr:row>
      <xdr:rowOff>15240</xdr:rowOff>
    </xdr:to>
    <xdr:sp macro="" textlink="#REF!">
      <xdr:nvSpPr>
        <xdr:cNvPr id="17" name="Rectangle 16">
          <a:extLst>
            <a:ext uri="{FF2B5EF4-FFF2-40B4-BE49-F238E27FC236}">
              <a16:creationId xmlns:a16="http://schemas.microsoft.com/office/drawing/2014/main" id="{79374F7F-911D-4880-BF3F-D356B5CD4AF1}"/>
            </a:ext>
          </a:extLst>
        </xdr:cNvPr>
        <xdr:cNvSpPr/>
      </xdr:nvSpPr>
      <xdr:spPr>
        <a:xfrm>
          <a:off x="7406640" y="487680"/>
          <a:ext cx="1264920" cy="80772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11167680-691F-46DC-9815-8115B8EC63C9}" type="TxLink">
            <a:rPr lang="en-US" sz="4800" b="1" i="0" u="none" strike="noStrike">
              <a:solidFill>
                <a:srgbClr val="000000"/>
              </a:solidFill>
              <a:latin typeface="Baskerville Old Face" panose="02020602080505020303" pitchFamily="18" charset="0"/>
              <a:ea typeface="Calibri"/>
              <a:cs typeface="Calibri"/>
            </a:rPr>
            <a:pPr algn="l"/>
            <a:t>20</a:t>
          </a:fld>
          <a:endParaRPr lang="en-IN" sz="4800" b="1">
            <a:solidFill>
              <a:schemeClr val="tx1">
                <a:lumMod val="95000"/>
                <a:lumOff val="5000"/>
              </a:schemeClr>
            </a:solidFill>
            <a:latin typeface="Baskerville Old Face" panose="02020602080505020303" pitchFamily="18" charset="0"/>
          </a:endParaRPr>
        </a:p>
      </xdr:txBody>
    </xdr:sp>
    <xdr:clientData/>
  </xdr:twoCellAnchor>
  <xdr:twoCellAnchor>
    <xdr:from>
      <xdr:col>12</xdr:col>
      <xdr:colOff>76200</xdr:colOff>
      <xdr:row>1</xdr:row>
      <xdr:rowOff>15240</xdr:rowOff>
    </xdr:from>
    <xdr:to>
      <xdr:col>15</xdr:col>
      <xdr:colOff>167640</xdr:colOff>
      <xdr:row>3</xdr:row>
      <xdr:rowOff>22860</xdr:rowOff>
    </xdr:to>
    <xdr:sp macro="" textlink="#REF!">
      <xdr:nvSpPr>
        <xdr:cNvPr id="18" name="Rectangle 17">
          <a:extLst>
            <a:ext uri="{FF2B5EF4-FFF2-40B4-BE49-F238E27FC236}">
              <a16:creationId xmlns:a16="http://schemas.microsoft.com/office/drawing/2014/main" id="{50356712-1EF7-432B-89C4-21F4B1ECA0EB}"/>
            </a:ext>
          </a:extLst>
        </xdr:cNvPr>
        <xdr:cNvSpPr/>
      </xdr:nvSpPr>
      <xdr:spPr>
        <a:xfrm>
          <a:off x="7391400" y="198120"/>
          <a:ext cx="1920240" cy="37338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aseline="0">
              <a:solidFill>
                <a:schemeClr val="tx1">
                  <a:lumMod val="95000"/>
                  <a:lumOff val="5000"/>
                </a:schemeClr>
              </a:solidFill>
            </a:rPr>
            <a:t>Total Orders</a:t>
          </a:r>
          <a:endParaRPr lang="en-IN" sz="1800">
            <a:solidFill>
              <a:schemeClr val="tx1">
                <a:lumMod val="95000"/>
                <a:lumOff val="5000"/>
              </a:schemeClr>
            </a:solidFill>
          </a:endParaRPr>
        </a:p>
      </xdr:txBody>
    </xdr:sp>
    <xdr:clientData/>
  </xdr:twoCellAnchor>
  <xdr:twoCellAnchor>
    <xdr:from>
      <xdr:col>16</xdr:col>
      <xdr:colOff>106680</xdr:colOff>
      <xdr:row>2</xdr:row>
      <xdr:rowOff>114300</xdr:rowOff>
    </xdr:from>
    <xdr:to>
      <xdr:col>18</xdr:col>
      <xdr:colOff>152400</xdr:colOff>
      <xdr:row>7</xdr:row>
      <xdr:rowOff>7620</xdr:rowOff>
    </xdr:to>
    <xdr:sp macro="" textlink="#REF!">
      <xdr:nvSpPr>
        <xdr:cNvPr id="19" name="Rectangle 18">
          <a:extLst>
            <a:ext uri="{FF2B5EF4-FFF2-40B4-BE49-F238E27FC236}">
              <a16:creationId xmlns:a16="http://schemas.microsoft.com/office/drawing/2014/main" id="{6F02D9DE-533F-418E-B113-38FC254EEB4F}"/>
            </a:ext>
          </a:extLst>
        </xdr:cNvPr>
        <xdr:cNvSpPr/>
      </xdr:nvSpPr>
      <xdr:spPr>
        <a:xfrm>
          <a:off x="9860280" y="480060"/>
          <a:ext cx="1264920" cy="80772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ABEFFCB4-55C1-4C01-95C3-046034873722}" type="TxLink">
            <a:rPr lang="en-US" sz="4800" b="1" i="0" u="none" strike="noStrike">
              <a:solidFill>
                <a:srgbClr val="000000"/>
              </a:solidFill>
              <a:latin typeface="Baskerville Old Face" panose="02020602080505020303" pitchFamily="18" charset="0"/>
              <a:ea typeface="Calibri"/>
              <a:cs typeface="Calibri"/>
            </a:rPr>
            <a:pPr algn="l"/>
            <a:t>10</a:t>
          </a:fld>
          <a:endParaRPr lang="en-IN" sz="4800" b="1">
            <a:solidFill>
              <a:schemeClr val="tx1">
                <a:lumMod val="95000"/>
                <a:lumOff val="5000"/>
              </a:schemeClr>
            </a:solidFill>
            <a:latin typeface="Baskerville Old Face" panose="02020602080505020303" pitchFamily="18" charset="0"/>
          </a:endParaRPr>
        </a:p>
      </xdr:txBody>
    </xdr:sp>
    <xdr:clientData/>
  </xdr:twoCellAnchor>
  <xdr:twoCellAnchor>
    <xdr:from>
      <xdr:col>15</xdr:col>
      <xdr:colOff>525780</xdr:colOff>
      <xdr:row>1</xdr:row>
      <xdr:rowOff>38100</xdr:rowOff>
    </xdr:from>
    <xdr:to>
      <xdr:col>19</xdr:col>
      <xdr:colOff>243840</xdr:colOff>
      <xdr:row>3</xdr:row>
      <xdr:rowOff>45720</xdr:rowOff>
    </xdr:to>
    <xdr:sp macro="" textlink="#REF!">
      <xdr:nvSpPr>
        <xdr:cNvPr id="20" name="Rectangle 19">
          <a:extLst>
            <a:ext uri="{FF2B5EF4-FFF2-40B4-BE49-F238E27FC236}">
              <a16:creationId xmlns:a16="http://schemas.microsoft.com/office/drawing/2014/main" id="{9F1D5F3B-DF41-4179-942D-44BE5230AA03}"/>
            </a:ext>
          </a:extLst>
        </xdr:cNvPr>
        <xdr:cNvSpPr/>
      </xdr:nvSpPr>
      <xdr:spPr>
        <a:xfrm>
          <a:off x="9669780" y="220980"/>
          <a:ext cx="2156460" cy="37338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aseline="0">
              <a:solidFill>
                <a:schemeClr val="tx1">
                  <a:lumMod val="95000"/>
                  <a:lumOff val="5000"/>
                </a:schemeClr>
              </a:solidFill>
            </a:rPr>
            <a:t>% of Cancelled order</a:t>
          </a:r>
          <a:endParaRPr lang="en-IN" sz="1800">
            <a:solidFill>
              <a:schemeClr val="tx1">
                <a:lumMod val="95000"/>
                <a:lumOff val="5000"/>
              </a:schemeClr>
            </a:solidFill>
          </a:endParaRPr>
        </a:p>
      </xdr:txBody>
    </xdr:sp>
    <xdr:clientData/>
  </xdr:twoCellAnchor>
  <xdr:twoCellAnchor>
    <xdr:from>
      <xdr:col>20</xdr:col>
      <xdr:colOff>53340</xdr:colOff>
      <xdr:row>2</xdr:row>
      <xdr:rowOff>121920</xdr:rowOff>
    </xdr:from>
    <xdr:to>
      <xdr:col>22</xdr:col>
      <xdr:colOff>99060</xdr:colOff>
      <xdr:row>7</xdr:row>
      <xdr:rowOff>15240</xdr:rowOff>
    </xdr:to>
    <xdr:sp macro="" textlink="#REF!">
      <xdr:nvSpPr>
        <xdr:cNvPr id="21" name="Rectangle 20">
          <a:extLst>
            <a:ext uri="{FF2B5EF4-FFF2-40B4-BE49-F238E27FC236}">
              <a16:creationId xmlns:a16="http://schemas.microsoft.com/office/drawing/2014/main" id="{2A430131-729E-43A4-B8E3-B5FB40223E2D}"/>
            </a:ext>
          </a:extLst>
        </xdr:cNvPr>
        <xdr:cNvSpPr/>
      </xdr:nvSpPr>
      <xdr:spPr>
        <a:xfrm>
          <a:off x="12245340" y="487680"/>
          <a:ext cx="1264920" cy="80772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9B486E62-0145-43F2-9BD7-C5990BEF2391}" type="TxLink">
            <a:rPr lang="en-US" sz="4800" b="1" i="0" u="none" strike="noStrike">
              <a:solidFill>
                <a:srgbClr val="000000"/>
              </a:solidFill>
              <a:latin typeface="Baskerville Old Face" panose="02020602080505020303" pitchFamily="18" charset="0"/>
              <a:ea typeface="Calibri"/>
              <a:cs typeface="Calibri"/>
            </a:rPr>
            <a:pPr algn="l"/>
            <a:t>55</a:t>
          </a:fld>
          <a:endParaRPr lang="en-IN" sz="4800" b="1">
            <a:solidFill>
              <a:schemeClr val="tx1">
                <a:lumMod val="95000"/>
                <a:lumOff val="5000"/>
              </a:schemeClr>
            </a:solidFill>
            <a:latin typeface="Baskerville Old Face" panose="02020602080505020303" pitchFamily="18" charset="0"/>
          </a:endParaRPr>
        </a:p>
      </xdr:txBody>
    </xdr:sp>
    <xdr:clientData/>
  </xdr:twoCellAnchor>
  <xdr:twoCellAnchor>
    <xdr:from>
      <xdr:col>19</xdr:col>
      <xdr:colOff>495300</xdr:colOff>
      <xdr:row>1</xdr:row>
      <xdr:rowOff>45720</xdr:rowOff>
    </xdr:from>
    <xdr:to>
      <xdr:col>23</xdr:col>
      <xdr:colOff>175260</xdr:colOff>
      <xdr:row>3</xdr:row>
      <xdr:rowOff>53340</xdr:rowOff>
    </xdr:to>
    <xdr:sp macro="" textlink="#REF!">
      <xdr:nvSpPr>
        <xdr:cNvPr id="22" name="Rectangle 21">
          <a:extLst>
            <a:ext uri="{FF2B5EF4-FFF2-40B4-BE49-F238E27FC236}">
              <a16:creationId xmlns:a16="http://schemas.microsoft.com/office/drawing/2014/main" id="{69134209-363F-4C91-AD09-2ED6B41CB9A8}"/>
            </a:ext>
          </a:extLst>
        </xdr:cNvPr>
        <xdr:cNvSpPr/>
      </xdr:nvSpPr>
      <xdr:spPr>
        <a:xfrm>
          <a:off x="12077700" y="228600"/>
          <a:ext cx="2118360" cy="37338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a:solidFill>
                <a:schemeClr val="tx1">
                  <a:lumMod val="95000"/>
                  <a:lumOff val="5000"/>
                </a:schemeClr>
              </a:solidFill>
            </a:rPr>
            <a:t>%</a:t>
          </a:r>
          <a:r>
            <a:rPr lang="en-IN" sz="1800" baseline="0">
              <a:solidFill>
                <a:schemeClr val="tx1">
                  <a:lumMod val="95000"/>
                  <a:lumOff val="5000"/>
                </a:schemeClr>
              </a:solidFill>
            </a:rPr>
            <a:t> of Delivered order</a:t>
          </a:r>
          <a:endParaRPr lang="en-IN" sz="1800">
            <a:solidFill>
              <a:schemeClr val="tx1">
                <a:lumMod val="95000"/>
                <a:lumOff val="5000"/>
              </a:schemeClr>
            </a:solidFill>
          </a:endParaRPr>
        </a:p>
      </xdr:txBody>
    </xdr:sp>
    <xdr:clientData/>
  </xdr:twoCellAnchor>
  <xdr:twoCellAnchor editAs="oneCell">
    <xdr:from>
      <xdr:col>0</xdr:col>
      <xdr:colOff>182880</xdr:colOff>
      <xdr:row>8</xdr:row>
      <xdr:rowOff>144778</xdr:rowOff>
    </xdr:from>
    <xdr:to>
      <xdr:col>3</xdr:col>
      <xdr:colOff>505530</xdr:colOff>
      <xdr:row>29</xdr:row>
      <xdr:rowOff>15239</xdr:rowOff>
    </xdr:to>
    <mc:AlternateContent xmlns:mc="http://schemas.openxmlformats.org/markup-compatibility/2006" xmlns:a14="http://schemas.microsoft.com/office/drawing/2010/main">
      <mc:Choice Requires="a14">
        <xdr:graphicFrame macro="">
          <xdr:nvGraphicFramePr>
            <xdr:cNvPr id="23" name="City 2">
              <a:extLst>
                <a:ext uri="{FF2B5EF4-FFF2-40B4-BE49-F238E27FC236}">
                  <a16:creationId xmlns:a16="http://schemas.microsoft.com/office/drawing/2014/main" id="{87466FC9-1BD7-4F53-B23B-84AB4774CDE9}"/>
                </a:ext>
              </a:extLst>
            </xdr:cNvPr>
            <xdr:cNvGraphicFramePr/>
          </xdr:nvGraphicFramePr>
          <xdr:xfrm>
            <a:off x="0" y="0"/>
            <a:ext cx="0" cy="0"/>
          </xdr:xfrm>
          <a:graphic>
            <a:graphicData uri="http://schemas.microsoft.com/office/drawing/2010/slicer">
              <sle:slicer xmlns:sle="http://schemas.microsoft.com/office/drawing/2010/slicer" name="City 2"/>
            </a:graphicData>
          </a:graphic>
        </xdr:graphicFrame>
      </mc:Choice>
      <mc:Fallback xmlns="">
        <xdr:sp macro="" textlink="">
          <xdr:nvSpPr>
            <xdr:cNvPr id="0" name=""/>
            <xdr:cNvSpPr>
              <a:spLocks noTextEdit="1"/>
            </xdr:cNvSpPr>
          </xdr:nvSpPr>
          <xdr:spPr>
            <a:xfrm>
              <a:off x="182880" y="1607818"/>
              <a:ext cx="2151450" cy="37109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45720</xdr:colOff>
      <xdr:row>7</xdr:row>
      <xdr:rowOff>114300</xdr:rowOff>
    </xdr:from>
    <xdr:to>
      <xdr:col>13</xdr:col>
      <xdr:colOff>320040</xdr:colOff>
      <xdr:row>18</xdr:row>
      <xdr:rowOff>106680</xdr:rowOff>
    </xdr:to>
    <xdr:graphicFrame macro="">
      <xdr:nvGraphicFramePr>
        <xdr:cNvPr id="24" name="Chart 23">
          <a:extLst>
            <a:ext uri="{FF2B5EF4-FFF2-40B4-BE49-F238E27FC236}">
              <a16:creationId xmlns:a16="http://schemas.microsoft.com/office/drawing/2014/main" id="{83383A38-429B-41C7-9061-3732C3F2A5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448698</xdr:colOff>
      <xdr:row>7</xdr:row>
      <xdr:rowOff>68580</xdr:rowOff>
    </xdr:from>
    <xdr:to>
      <xdr:col>23</xdr:col>
      <xdr:colOff>266700</xdr:colOff>
      <xdr:row>18</xdr:row>
      <xdr:rowOff>99060</xdr:rowOff>
    </xdr:to>
    <xdr:graphicFrame macro="">
      <xdr:nvGraphicFramePr>
        <xdr:cNvPr id="25" name="Chart 24">
          <a:extLst>
            <a:ext uri="{FF2B5EF4-FFF2-40B4-BE49-F238E27FC236}">
              <a16:creationId xmlns:a16="http://schemas.microsoft.com/office/drawing/2014/main" id="{57E6F524-7DA4-4C4F-8F7D-6DB9673030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502920</xdr:colOff>
      <xdr:row>18</xdr:row>
      <xdr:rowOff>53340</xdr:rowOff>
    </xdr:from>
    <xdr:to>
      <xdr:col>23</xdr:col>
      <xdr:colOff>228600</xdr:colOff>
      <xdr:row>29</xdr:row>
      <xdr:rowOff>30480</xdr:rowOff>
    </xdr:to>
    <xdr:graphicFrame macro="">
      <xdr:nvGraphicFramePr>
        <xdr:cNvPr id="26" name="Chart 25">
          <a:extLst>
            <a:ext uri="{FF2B5EF4-FFF2-40B4-BE49-F238E27FC236}">
              <a16:creationId xmlns:a16="http://schemas.microsoft.com/office/drawing/2014/main" id="{C5B878D4-4E3A-458B-95EA-EB2F818351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53340</xdr:colOff>
      <xdr:row>18</xdr:row>
      <xdr:rowOff>0</xdr:rowOff>
    </xdr:from>
    <xdr:to>
      <xdr:col>14</xdr:col>
      <xdr:colOff>327660</xdr:colOff>
      <xdr:row>29</xdr:row>
      <xdr:rowOff>7620</xdr:rowOff>
    </xdr:to>
    <xdr:graphicFrame macro="">
      <xdr:nvGraphicFramePr>
        <xdr:cNvPr id="27" name="Chart 26">
          <a:extLst>
            <a:ext uri="{FF2B5EF4-FFF2-40B4-BE49-F238E27FC236}">
              <a16:creationId xmlns:a16="http://schemas.microsoft.com/office/drawing/2014/main" id="{4AC39042-DE9E-4DF1-99B6-D774CC460B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152400</xdr:colOff>
      <xdr:row>1</xdr:row>
      <xdr:rowOff>22860</xdr:rowOff>
    </xdr:from>
    <xdr:to>
      <xdr:col>3</xdr:col>
      <xdr:colOff>541020</xdr:colOff>
      <xdr:row>10</xdr:row>
      <xdr:rowOff>152400</xdr:rowOff>
    </xdr:to>
    <xdr:sp macro="" textlink="">
      <xdr:nvSpPr>
        <xdr:cNvPr id="28" name="Flowchart: Process 27">
          <a:extLst>
            <a:ext uri="{FF2B5EF4-FFF2-40B4-BE49-F238E27FC236}">
              <a16:creationId xmlns:a16="http://schemas.microsoft.com/office/drawing/2014/main" id="{30360B88-836D-47E5-9C93-5F2F6E0B7922}"/>
            </a:ext>
          </a:extLst>
        </xdr:cNvPr>
        <xdr:cNvSpPr/>
      </xdr:nvSpPr>
      <xdr:spPr>
        <a:xfrm>
          <a:off x="152400" y="205740"/>
          <a:ext cx="2217420" cy="1775460"/>
        </a:xfrm>
        <a:prstGeom prst="flowChartProcess">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3200">
              <a:solidFill>
                <a:schemeClr val="tx1">
                  <a:lumMod val="95000"/>
                  <a:lumOff val="5000"/>
                </a:schemeClr>
              </a:solidFill>
            </a:rPr>
            <a:t>Logistics</a:t>
          </a:r>
          <a:r>
            <a:rPr lang="en-IN" sz="2000">
              <a:solidFill>
                <a:schemeClr val="tx1">
                  <a:lumMod val="95000"/>
                  <a:lumOff val="5000"/>
                </a:schemeClr>
              </a:solidFill>
            </a:rPr>
            <a:t> </a:t>
          </a:r>
          <a:r>
            <a:rPr lang="en-IN" sz="1600">
              <a:solidFill>
                <a:schemeClr val="tx1">
                  <a:lumMod val="95000"/>
                  <a:lumOff val="5000"/>
                </a:schemeClr>
              </a:solidFill>
            </a:rPr>
            <a:t>Performance Dashboard</a:t>
          </a:r>
        </a:p>
      </xdr:txBody>
    </xdr:sp>
    <xdr:clientData/>
  </xdr:twoCellAnchor>
  <xdr:twoCellAnchor editAs="oneCell">
    <xdr:from>
      <xdr:col>10</xdr:col>
      <xdr:colOff>45720</xdr:colOff>
      <xdr:row>3</xdr:row>
      <xdr:rowOff>7620</xdr:rowOff>
    </xdr:from>
    <xdr:to>
      <xdr:col>11</xdr:col>
      <xdr:colOff>106680</xdr:colOff>
      <xdr:row>6</xdr:row>
      <xdr:rowOff>129540</xdr:rowOff>
    </xdr:to>
    <xdr:pic>
      <xdr:nvPicPr>
        <xdr:cNvPr id="32" name="Picture 31">
          <a:extLst>
            <a:ext uri="{FF2B5EF4-FFF2-40B4-BE49-F238E27FC236}">
              <a16:creationId xmlns:a16="http://schemas.microsoft.com/office/drawing/2014/main" id="{09EE3F56-576D-43D1-998B-C1307B443F44}"/>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6141720" y="556260"/>
          <a:ext cx="670560" cy="670560"/>
        </a:xfrm>
        <a:prstGeom prst="rect">
          <a:avLst/>
        </a:prstGeom>
      </xdr:spPr>
    </xdr:pic>
    <xdr:clientData/>
  </xdr:twoCellAnchor>
  <xdr:twoCellAnchor editAs="oneCell">
    <xdr:from>
      <xdr:col>17</xdr:col>
      <xdr:colOff>556261</xdr:colOff>
      <xdr:row>3</xdr:row>
      <xdr:rowOff>1</xdr:rowOff>
    </xdr:from>
    <xdr:to>
      <xdr:col>19</xdr:col>
      <xdr:colOff>0</xdr:colOff>
      <xdr:row>6</xdr:row>
      <xdr:rowOff>114300</xdr:rowOff>
    </xdr:to>
    <xdr:pic>
      <xdr:nvPicPr>
        <xdr:cNvPr id="34" name="Picture 33">
          <a:extLst>
            <a:ext uri="{FF2B5EF4-FFF2-40B4-BE49-F238E27FC236}">
              <a16:creationId xmlns:a16="http://schemas.microsoft.com/office/drawing/2014/main" id="{5B01D68F-E4D1-45A0-832C-7D440433A6EE}"/>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0919461" y="548641"/>
          <a:ext cx="662939" cy="662939"/>
        </a:xfrm>
        <a:prstGeom prst="rect">
          <a:avLst/>
        </a:prstGeom>
      </xdr:spPr>
    </xdr:pic>
    <xdr:clientData/>
  </xdr:twoCellAnchor>
  <xdr:twoCellAnchor editAs="oneCell">
    <xdr:from>
      <xdr:col>21</xdr:col>
      <xdr:colOff>543840</xdr:colOff>
      <xdr:row>3</xdr:row>
      <xdr:rowOff>38100</xdr:rowOff>
    </xdr:from>
    <xdr:to>
      <xdr:col>23</xdr:col>
      <xdr:colOff>18060</xdr:colOff>
      <xdr:row>7</xdr:row>
      <xdr:rowOff>0</xdr:rowOff>
    </xdr:to>
    <xdr:pic>
      <xdr:nvPicPr>
        <xdr:cNvPr id="36" name="Picture 35">
          <a:extLst>
            <a:ext uri="{FF2B5EF4-FFF2-40B4-BE49-F238E27FC236}">
              <a16:creationId xmlns:a16="http://schemas.microsoft.com/office/drawing/2014/main" id="{44F30654-DB0E-45CD-A493-88DA250DA5AD}"/>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3345440" y="586740"/>
          <a:ext cx="693420" cy="693420"/>
        </a:xfrm>
        <a:prstGeom prst="rect">
          <a:avLst/>
        </a:prstGeom>
      </xdr:spPr>
    </xdr:pic>
    <xdr:clientData/>
  </xdr:twoCellAnchor>
  <xdr:twoCellAnchor editAs="oneCell">
    <xdr:from>
      <xdr:col>6</xdr:col>
      <xdr:colOff>61380</xdr:colOff>
      <xdr:row>3</xdr:row>
      <xdr:rowOff>38520</xdr:rowOff>
    </xdr:from>
    <xdr:to>
      <xdr:col>7</xdr:col>
      <xdr:colOff>61384</xdr:colOff>
      <xdr:row>6</xdr:row>
      <xdr:rowOff>99484</xdr:rowOff>
    </xdr:to>
    <xdr:pic>
      <xdr:nvPicPr>
        <xdr:cNvPr id="38" name="Picture 37">
          <a:extLst>
            <a:ext uri="{FF2B5EF4-FFF2-40B4-BE49-F238E27FC236}">
              <a16:creationId xmlns:a16="http://schemas.microsoft.com/office/drawing/2014/main" id="{9F505422-0D9F-4CD3-B840-6D561E6F1168}"/>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3718980" y="587160"/>
          <a:ext cx="609604" cy="609604"/>
        </a:xfrm>
        <a:prstGeom prst="rect">
          <a:avLst/>
        </a:prstGeom>
      </xdr:spPr>
    </xdr:pic>
    <xdr:clientData/>
  </xdr:twoCellAnchor>
  <xdr:twoCellAnchor editAs="oneCell">
    <xdr:from>
      <xdr:col>13</xdr:col>
      <xdr:colOff>478080</xdr:colOff>
      <xdr:row>2</xdr:row>
      <xdr:rowOff>137160</xdr:rowOff>
    </xdr:from>
    <xdr:to>
      <xdr:col>15</xdr:col>
      <xdr:colOff>137160</xdr:colOff>
      <xdr:row>7</xdr:row>
      <xdr:rowOff>101040</xdr:rowOff>
    </xdr:to>
    <xdr:pic>
      <xdr:nvPicPr>
        <xdr:cNvPr id="40" name="Picture 39">
          <a:extLst>
            <a:ext uri="{FF2B5EF4-FFF2-40B4-BE49-F238E27FC236}">
              <a16:creationId xmlns:a16="http://schemas.microsoft.com/office/drawing/2014/main" id="{D8944394-5D4C-4F8A-BFEF-21B31E003EDC}"/>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8402880" y="502920"/>
          <a:ext cx="878280" cy="87828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1227A0AF1"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vek mali" refreshedDate="46158.47500810185" createdVersion="7" refreshedVersion="7" minRefreshableVersion="3" recordCount="20" xr:uid="{B81EA056-8042-4305-B311-FA7516B7B5B8}">
  <cacheSource type="worksheet">
    <worksheetSource name="Logities" r:id="rId2"/>
  </cacheSource>
  <cacheFields count="7">
    <cacheField name="Order_ID" numFmtId="0">
      <sharedItems containsSemiMixedTypes="0" containsString="0" containsNumber="1" containsInteger="1" minValue="1001" maxValue="1020" count="20">
        <n v="1001"/>
        <n v="1002"/>
        <n v="1003"/>
        <n v="1004"/>
        <n v="1005"/>
        <n v="1006"/>
        <n v="1007"/>
        <n v="1008"/>
        <n v="1009"/>
        <n v="1010"/>
        <n v="1011"/>
        <n v="1012"/>
        <n v="1013"/>
        <n v="1014"/>
        <n v="1015"/>
        <n v="1016"/>
        <n v="1017"/>
        <n v="1018"/>
        <n v="1019"/>
        <n v="1020"/>
      </sharedItems>
    </cacheField>
    <cacheField name="Customer_Name" numFmtId="11">
      <sharedItems count="19">
        <s v="Rahul Sharma"/>
        <s v="Sneha Patil"/>
        <s v="Amit"/>
        <s v="Priya"/>
        <s v="Missing"/>
        <s v="Rohan Mehta"/>
        <s v="Kavya Singh"/>
        <s v="Arjun"/>
        <s v="Neha Verma"/>
        <s v="Vikas Patil"/>
        <s v="Sameer Khan"/>
        <s v="Anjali"/>
        <s v="Ravi Kumar"/>
        <s v="Pooja Shah"/>
        <s v="Manish Gupta"/>
        <s v="Saniya"/>
        <s v="Rohit"/>
        <s v="Deepak Patil"/>
        <s v="Meena Joshi"/>
      </sharedItems>
    </cacheField>
    <cacheField name="City" numFmtId="11">
      <sharedItems count="7">
        <s v="Pune"/>
        <s v="Mumbai"/>
        <s v="Delhi"/>
        <s v="Bangalore"/>
        <s v="Chennai"/>
        <s v="Kolkata"/>
        <s v="Hyderabad"/>
      </sharedItems>
    </cacheField>
    <cacheField name="Product" numFmtId="0">
      <sharedItems count="6">
        <s v="Laptop"/>
        <s v="Mouse"/>
        <s v="Keyboard"/>
        <s v="Monitor"/>
        <s v="Phone"/>
        <s v="Tablet"/>
      </sharedItems>
    </cacheField>
    <cacheField name="Quantity" numFmtId="0">
      <sharedItems containsSemiMixedTypes="0" containsString="0" containsNumber="1" containsInteger="1" minValue="0" maxValue="10"/>
    </cacheField>
    <cacheField name="Delivery_Status" numFmtId="0">
      <sharedItems count="4">
        <s v="Delivered"/>
        <s v="Pending"/>
        <s v="Cancelled"/>
        <s v="Returned"/>
      </sharedItems>
    </cacheField>
    <cacheField name="Delivery_Days" numFmtId="0">
      <sharedItems containsSemiMixedTypes="0" containsString="0" containsNumber="1" containsInteger="1" minValue="0" maxValue="15" count="14">
        <n v="5"/>
        <n v="12"/>
        <n v="4"/>
        <n v="0"/>
        <n v="7"/>
        <n v="3"/>
        <n v="15"/>
        <n v="6"/>
        <n v="9"/>
        <n v="11"/>
        <n v="8"/>
        <n v="2"/>
        <n v="14"/>
        <n v="13"/>
      </sharedItems>
    </cacheField>
  </cacheFields>
  <extLst>
    <ext xmlns:x14="http://schemas.microsoft.com/office/spreadsheetml/2009/9/main" uri="{725AE2AE-9491-48be-B2B4-4EB974FC3084}">
      <x14:pivotCacheDefinition pivotCacheId="11226504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x v="0"/>
    <n v="2"/>
    <x v="0"/>
    <x v="0"/>
  </r>
  <r>
    <x v="1"/>
    <x v="1"/>
    <x v="1"/>
    <x v="1"/>
    <n v="5"/>
    <x v="1"/>
    <x v="1"/>
  </r>
  <r>
    <x v="2"/>
    <x v="2"/>
    <x v="2"/>
    <x v="2"/>
    <n v="2"/>
    <x v="0"/>
    <x v="2"/>
  </r>
  <r>
    <x v="3"/>
    <x v="3"/>
    <x v="0"/>
    <x v="3"/>
    <n v="1"/>
    <x v="2"/>
    <x v="3"/>
  </r>
  <r>
    <x v="4"/>
    <x v="4"/>
    <x v="3"/>
    <x v="0"/>
    <n v="3"/>
    <x v="0"/>
    <x v="4"/>
  </r>
  <r>
    <x v="5"/>
    <x v="5"/>
    <x v="1"/>
    <x v="4"/>
    <n v="1"/>
    <x v="0"/>
    <x v="5"/>
  </r>
  <r>
    <x v="6"/>
    <x v="6"/>
    <x v="4"/>
    <x v="1"/>
    <n v="10"/>
    <x v="1"/>
    <x v="6"/>
  </r>
  <r>
    <x v="7"/>
    <x v="7"/>
    <x v="0"/>
    <x v="5"/>
    <n v="2"/>
    <x v="0"/>
    <x v="7"/>
  </r>
  <r>
    <x v="8"/>
    <x v="8"/>
    <x v="2"/>
    <x v="2"/>
    <n v="0"/>
    <x v="3"/>
    <x v="8"/>
  </r>
  <r>
    <x v="9"/>
    <x v="9"/>
    <x v="5"/>
    <x v="0"/>
    <n v="1"/>
    <x v="0"/>
    <x v="0"/>
  </r>
  <r>
    <x v="10"/>
    <x v="10"/>
    <x v="0"/>
    <x v="1"/>
    <n v="4"/>
    <x v="1"/>
    <x v="9"/>
  </r>
  <r>
    <x v="11"/>
    <x v="11"/>
    <x v="6"/>
    <x v="3"/>
    <n v="1"/>
    <x v="0"/>
    <x v="5"/>
  </r>
  <r>
    <x v="12"/>
    <x v="12"/>
    <x v="4"/>
    <x v="0"/>
    <n v="2"/>
    <x v="2"/>
    <x v="10"/>
  </r>
  <r>
    <x v="13"/>
    <x v="13"/>
    <x v="3"/>
    <x v="4"/>
    <n v="1"/>
    <x v="0"/>
    <x v="11"/>
  </r>
  <r>
    <x v="14"/>
    <x v="4"/>
    <x v="1"/>
    <x v="5"/>
    <n v="3"/>
    <x v="1"/>
    <x v="12"/>
  </r>
  <r>
    <x v="15"/>
    <x v="14"/>
    <x v="2"/>
    <x v="1"/>
    <n v="6"/>
    <x v="0"/>
    <x v="0"/>
  </r>
  <r>
    <x v="16"/>
    <x v="15"/>
    <x v="0"/>
    <x v="2"/>
    <n v="2"/>
    <x v="3"/>
    <x v="3"/>
  </r>
  <r>
    <x v="17"/>
    <x v="16"/>
    <x v="5"/>
    <x v="0"/>
    <n v="1"/>
    <x v="0"/>
    <x v="2"/>
  </r>
  <r>
    <x v="18"/>
    <x v="17"/>
    <x v="0"/>
    <x v="4"/>
    <n v="5"/>
    <x v="1"/>
    <x v="13"/>
  </r>
  <r>
    <x v="19"/>
    <x v="18"/>
    <x v="4"/>
    <x v="3"/>
    <n v="2"/>
    <x v="0"/>
    <x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4D037B4-19E4-46B9-8D44-F308A2404862}"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1">
  <location ref="A10:B17" firstHeaderRow="1" firstDataRow="1" firstDataCol="1"/>
  <pivotFields count="7">
    <pivotField showAll="0"/>
    <pivotField showAll="0"/>
    <pivotField showAll="0">
      <items count="8">
        <item x="3"/>
        <item x="4"/>
        <item x="2"/>
        <item x="6"/>
        <item x="5"/>
        <item x="1"/>
        <item x="0"/>
        <item t="default"/>
      </items>
    </pivotField>
    <pivotField axis="axisRow" showAll="0">
      <items count="7">
        <item x="2"/>
        <item x="0"/>
        <item x="3"/>
        <item x="1"/>
        <item x="4"/>
        <item x="5"/>
        <item t="default"/>
      </items>
    </pivotField>
    <pivotField showAll="0"/>
    <pivotField showAll="0">
      <items count="5">
        <item x="2"/>
        <item x="0"/>
        <item x="1"/>
        <item x="3"/>
        <item t="default"/>
      </items>
    </pivotField>
    <pivotField dataField="1" showAll="0"/>
  </pivotFields>
  <rowFields count="1">
    <field x="3"/>
  </rowFields>
  <rowItems count="7">
    <i>
      <x/>
    </i>
    <i>
      <x v="1"/>
    </i>
    <i>
      <x v="2"/>
    </i>
    <i>
      <x v="3"/>
    </i>
    <i>
      <x v="4"/>
    </i>
    <i>
      <x v="5"/>
    </i>
    <i t="grand">
      <x/>
    </i>
  </rowItems>
  <colItems count="1">
    <i/>
  </colItems>
  <dataFields count="1">
    <dataField name="Average of Delivery_Days" fld="6" subtotal="average" baseField="3" baseItem="0" numFmtId="1"/>
  </dataFields>
  <formats count="577">
    <format dxfId="576">
      <pivotArea type="all" dataOnly="0" outline="0" fieldPosition="0"/>
    </format>
    <format dxfId="575">
      <pivotArea outline="0" collapsedLevelsAreSubtotals="1" fieldPosition="0"/>
    </format>
    <format dxfId="574">
      <pivotArea field="3" type="button" dataOnly="0" labelOnly="1" outline="0" axis="axisRow" fieldPosition="0"/>
    </format>
    <format dxfId="573">
      <pivotArea dataOnly="0" labelOnly="1" outline="0" axis="axisValues" fieldPosition="0"/>
    </format>
    <format dxfId="572">
      <pivotArea dataOnly="0" labelOnly="1" fieldPosition="0">
        <references count="1">
          <reference field="3" count="0"/>
        </references>
      </pivotArea>
    </format>
    <format dxfId="571">
      <pivotArea dataOnly="0" labelOnly="1" grandRow="1" outline="0" fieldPosition="0"/>
    </format>
    <format dxfId="570">
      <pivotArea dataOnly="0" labelOnly="1" outline="0" axis="axisValues" fieldPosition="0"/>
    </format>
    <format dxfId="569">
      <pivotArea type="all" dataOnly="0" outline="0" fieldPosition="0"/>
    </format>
    <format dxfId="568">
      <pivotArea outline="0" collapsedLevelsAreSubtotals="1" fieldPosition="0"/>
    </format>
    <format dxfId="567">
      <pivotArea field="3" type="button" dataOnly="0" labelOnly="1" outline="0" axis="axisRow" fieldPosition="0"/>
    </format>
    <format dxfId="566">
      <pivotArea dataOnly="0" labelOnly="1" outline="0" axis="axisValues" fieldPosition="0"/>
    </format>
    <format dxfId="565">
      <pivotArea dataOnly="0" labelOnly="1" fieldPosition="0">
        <references count="1">
          <reference field="3" count="0"/>
        </references>
      </pivotArea>
    </format>
    <format dxfId="564">
      <pivotArea dataOnly="0" labelOnly="1" grandRow="1" outline="0" fieldPosition="0"/>
    </format>
    <format dxfId="563">
      <pivotArea dataOnly="0" labelOnly="1" outline="0" axis="axisValues" fieldPosition="0"/>
    </format>
    <format dxfId="562">
      <pivotArea field="3" type="button" dataOnly="0" labelOnly="1" outline="0" axis="axisRow" fieldPosition="0"/>
    </format>
    <format dxfId="561">
      <pivotArea dataOnly="0" labelOnly="1" outline="0" axis="axisValues" fieldPosition="0"/>
    </format>
    <format dxfId="560">
      <pivotArea dataOnly="0" labelOnly="1" outline="0" axis="axisValues" fieldPosition="0"/>
    </format>
    <format dxfId="559">
      <pivotArea field="3" type="button" dataOnly="0" labelOnly="1" outline="0" axis="axisRow" fieldPosition="0"/>
    </format>
    <format dxfId="558">
      <pivotArea dataOnly="0" labelOnly="1" outline="0" axis="axisValues" fieldPosition="0"/>
    </format>
    <format dxfId="557">
      <pivotArea dataOnly="0" labelOnly="1" outline="0" axis="axisValues" fieldPosition="0"/>
    </format>
    <format dxfId="556">
      <pivotArea field="3" type="button" dataOnly="0" labelOnly="1" outline="0" axis="axisRow" fieldPosition="0"/>
    </format>
    <format dxfId="555">
      <pivotArea dataOnly="0" labelOnly="1" outline="0" axis="axisValues" fieldPosition="0"/>
    </format>
    <format dxfId="554">
      <pivotArea dataOnly="0" labelOnly="1" outline="0" axis="axisValues" fieldPosition="0"/>
    </format>
    <format dxfId="553">
      <pivotArea field="3" type="button" dataOnly="0" labelOnly="1" outline="0" axis="axisRow" fieldPosition="0"/>
    </format>
    <format dxfId="552">
      <pivotArea dataOnly="0" labelOnly="1" outline="0" axis="axisValues" fieldPosition="0"/>
    </format>
    <format dxfId="551">
      <pivotArea dataOnly="0" labelOnly="1" outline="0" axis="axisValues" fieldPosition="0"/>
    </format>
    <format dxfId="550">
      <pivotArea collapsedLevelsAreSubtotals="1" fieldPosition="0">
        <references count="1">
          <reference field="3" count="0"/>
        </references>
      </pivotArea>
    </format>
    <format dxfId="549">
      <pivotArea dataOnly="0" labelOnly="1" fieldPosition="0">
        <references count="1">
          <reference field="3" count="0"/>
        </references>
      </pivotArea>
    </format>
    <format dxfId="548">
      <pivotArea collapsedLevelsAreSubtotals="1" fieldPosition="0">
        <references count="1">
          <reference field="3" count="0"/>
        </references>
      </pivotArea>
    </format>
    <format dxfId="547">
      <pivotArea dataOnly="0" labelOnly="1" fieldPosition="0">
        <references count="1">
          <reference field="3" count="0"/>
        </references>
      </pivotArea>
    </format>
    <format dxfId="546">
      <pivotArea grandRow="1" outline="0" collapsedLevelsAreSubtotals="1" fieldPosition="0"/>
    </format>
    <format dxfId="545">
      <pivotArea dataOnly="0" labelOnly="1" grandRow="1" outline="0" fieldPosition="0"/>
    </format>
    <format dxfId="544">
      <pivotArea grandRow="1" outline="0" collapsedLevelsAreSubtotals="1" fieldPosition="0"/>
    </format>
    <format dxfId="543">
      <pivotArea dataOnly="0" labelOnly="1" grandRow="1" outline="0" fieldPosition="0"/>
    </format>
    <format dxfId="542">
      <pivotArea grandRow="1" outline="0" collapsedLevelsAreSubtotals="1" fieldPosition="0"/>
    </format>
    <format dxfId="541">
      <pivotArea dataOnly="0" labelOnly="1" grandRow="1" outline="0" fieldPosition="0"/>
    </format>
    <format dxfId="540">
      <pivotArea type="all" dataOnly="0" outline="0" fieldPosition="0"/>
    </format>
    <format dxfId="539">
      <pivotArea outline="0" collapsedLevelsAreSubtotals="1" fieldPosition="0"/>
    </format>
    <format dxfId="538">
      <pivotArea field="3" type="button" dataOnly="0" labelOnly="1" outline="0" axis="axisRow" fieldPosition="0"/>
    </format>
    <format dxfId="537">
      <pivotArea dataOnly="0" labelOnly="1" outline="0" axis="axisValues" fieldPosition="0"/>
    </format>
    <format dxfId="536">
      <pivotArea dataOnly="0" labelOnly="1" fieldPosition="0">
        <references count="1">
          <reference field="3" count="0"/>
        </references>
      </pivotArea>
    </format>
    <format dxfId="535">
      <pivotArea dataOnly="0" labelOnly="1" grandRow="1" outline="0" fieldPosition="0"/>
    </format>
    <format dxfId="534">
      <pivotArea dataOnly="0" labelOnly="1" outline="0" axis="axisValues" fieldPosition="0"/>
    </format>
    <format dxfId="533">
      <pivotArea type="all" dataOnly="0" outline="0" fieldPosition="0"/>
    </format>
    <format dxfId="532">
      <pivotArea outline="0" collapsedLevelsAreSubtotals="1" fieldPosition="0"/>
    </format>
    <format dxfId="531">
      <pivotArea field="3" type="button" dataOnly="0" labelOnly="1" outline="0" axis="axisRow" fieldPosition="0"/>
    </format>
    <format dxfId="530">
      <pivotArea dataOnly="0" labelOnly="1" outline="0" axis="axisValues" fieldPosition="0"/>
    </format>
    <format dxfId="529">
      <pivotArea dataOnly="0" labelOnly="1" fieldPosition="0">
        <references count="1">
          <reference field="3" count="0"/>
        </references>
      </pivotArea>
    </format>
    <format dxfId="528">
      <pivotArea dataOnly="0" labelOnly="1" grandRow="1" outline="0" fieldPosition="0"/>
    </format>
    <format dxfId="527">
      <pivotArea dataOnly="0" labelOnly="1" outline="0" axis="axisValues" fieldPosition="0"/>
    </format>
    <format dxfId="526">
      <pivotArea type="all" dataOnly="0" outline="0" fieldPosition="0"/>
    </format>
    <format dxfId="525">
      <pivotArea outline="0" collapsedLevelsAreSubtotals="1" fieldPosition="0"/>
    </format>
    <format dxfId="524">
      <pivotArea field="3" type="button" dataOnly="0" labelOnly="1" outline="0" axis="axisRow" fieldPosition="0"/>
    </format>
    <format dxfId="523">
      <pivotArea dataOnly="0" labelOnly="1" outline="0" axis="axisValues" fieldPosition="0"/>
    </format>
    <format dxfId="522">
      <pivotArea dataOnly="0" labelOnly="1" fieldPosition="0">
        <references count="1">
          <reference field="3" count="0"/>
        </references>
      </pivotArea>
    </format>
    <format dxfId="521">
      <pivotArea dataOnly="0" labelOnly="1" grandRow="1" outline="0" fieldPosition="0"/>
    </format>
    <format dxfId="520">
      <pivotArea dataOnly="0" labelOnly="1" outline="0" axis="axisValues" fieldPosition="0"/>
    </format>
    <format dxfId="519">
      <pivotArea type="all" dataOnly="0" outline="0" fieldPosition="0"/>
    </format>
    <format dxfId="518">
      <pivotArea outline="0" collapsedLevelsAreSubtotals="1" fieldPosition="0"/>
    </format>
    <format dxfId="517">
      <pivotArea field="3" type="button" dataOnly="0" labelOnly="1" outline="0" axis="axisRow" fieldPosition="0"/>
    </format>
    <format dxfId="516">
      <pivotArea dataOnly="0" labelOnly="1" outline="0" axis="axisValues" fieldPosition="0"/>
    </format>
    <format dxfId="515">
      <pivotArea dataOnly="0" labelOnly="1" fieldPosition="0">
        <references count="1">
          <reference field="3" count="0"/>
        </references>
      </pivotArea>
    </format>
    <format dxfId="514">
      <pivotArea dataOnly="0" labelOnly="1" grandRow="1" outline="0" fieldPosition="0"/>
    </format>
    <format dxfId="513">
      <pivotArea dataOnly="0" labelOnly="1" outline="0" axis="axisValues" fieldPosition="0"/>
    </format>
    <format dxfId="512">
      <pivotArea type="all" dataOnly="0" outline="0" fieldPosition="0"/>
    </format>
    <format dxfId="511">
      <pivotArea outline="0" collapsedLevelsAreSubtotals="1" fieldPosition="0"/>
    </format>
    <format dxfId="510">
      <pivotArea field="3" type="button" dataOnly="0" labelOnly="1" outline="0" axis="axisRow" fieldPosition="0"/>
    </format>
    <format dxfId="509">
      <pivotArea dataOnly="0" labelOnly="1" outline="0" axis="axisValues" fieldPosition="0"/>
    </format>
    <format dxfId="508">
      <pivotArea dataOnly="0" labelOnly="1" fieldPosition="0">
        <references count="1">
          <reference field="3" count="0"/>
        </references>
      </pivotArea>
    </format>
    <format dxfId="507">
      <pivotArea dataOnly="0" labelOnly="1" grandRow="1" outline="0" fieldPosition="0"/>
    </format>
    <format dxfId="506">
      <pivotArea dataOnly="0" labelOnly="1" outline="0" axis="axisValues" fieldPosition="0"/>
    </format>
    <format dxfId="505">
      <pivotArea type="all" dataOnly="0" outline="0" fieldPosition="0"/>
    </format>
    <format dxfId="504">
      <pivotArea outline="0" collapsedLevelsAreSubtotals="1" fieldPosition="0"/>
    </format>
    <format dxfId="503">
      <pivotArea field="3" type="button" dataOnly="0" labelOnly="1" outline="0" axis="axisRow" fieldPosition="0"/>
    </format>
    <format dxfId="502">
      <pivotArea dataOnly="0" labelOnly="1" outline="0" axis="axisValues" fieldPosition="0"/>
    </format>
    <format dxfId="501">
      <pivotArea dataOnly="0" labelOnly="1" fieldPosition="0">
        <references count="1">
          <reference field="3" count="0"/>
        </references>
      </pivotArea>
    </format>
    <format dxfId="500">
      <pivotArea dataOnly="0" labelOnly="1" grandRow="1" outline="0" fieldPosition="0"/>
    </format>
    <format dxfId="499">
      <pivotArea dataOnly="0" labelOnly="1" outline="0" axis="axisValues" fieldPosition="0"/>
    </format>
    <format dxfId="498">
      <pivotArea type="all" dataOnly="0" outline="0" fieldPosition="0"/>
    </format>
    <format dxfId="497">
      <pivotArea outline="0" collapsedLevelsAreSubtotals="1" fieldPosition="0"/>
    </format>
    <format dxfId="496">
      <pivotArea field="3" type="button" dataOnly="0" labelOnly="1" outline="0" axis="axisRow" fieldPosition="0"/>
    </format>
    <format dxfId="495">
      <pivotArea dataOnly="0" labelOnly="1" outline="0" axis="axisValues" fieldPosition="0"/>
    </format>
    <format dxfId="494">
      <pivotArea dataOnly="0" labelOnly="1" fieldPosition="0">
        <references count="1">
          <reference field="3" count="0"/>
        </references>
      </pivotArea>
    </format>
    <format dxfId="493">
      <pivotArea dataOnly="0" labelOnly="1" grandRow="1" outline="0" fieldPosition="0"/>
    </format>
    <format dxfId="492">
      <pivotArea dataOnly="0" labelOnly="1" outline="0" axis="axisValues" fieldPosition="0"/>
    </format>
    <format dxfId="491">
      <pivotArea type="all" dataOnly="0" outline="0" fieldPosition="0"/>
    </format>
    <format dxfId="490">
      <pivotArea outline="0" collapsedLevelsAreSubtotals="1" fieldPosition="0"/>
    </format>
    <format dxfId="489">
      <pivotArea field="3" type="button" dataOnly="0" labelOnly="1" outline="0" axis="axisRow" fieldPosition="0"/>
    </format>
    <format dxfId="488">
      <pivotArea dataOnly="0" labelOnly="1" outline="0" axis="axisValues" fieldPosition="0"/>
    </format>
    <format dxfId="487">
      <pivotArea dataOnly="0" labelOnly="1" fieldPosition="0">
        <references count="1">
          <reference field="3" count="0"/>
        </references>
      </pivotArea>
    </format>
    <format dxfId="486">
      <pivotArea dataOnly="0" labelOnly="1" grandRow="1" outline="0" fieldPosition="0"/>
    </format>
    <format dxfId="485">
      <pivotArea dataOnly="0" labelOnly="1" outline="0" axis="axisValues" fieldPosition="0"/>
    </format>
    <format dxfId="484">
      <pivotArea type="all" dataOnly="0" outline="0" fieldPosition="0"/>
    </format>
    <format dxfId="483">
      <pivotArea outline="0" collapsedLevelsAreSubtotals="1" fieldPosition="0"/>
    </format>
    <format dxfId="482">
      <pivotArea field="3" type="button" dataOnly="0" labelOnly="1" outline="0" axis="axisRow" fieldPosition="0"/>
    </format>
    <format dxfId="481">
      <pivotArea dataOnly="0" labelOnly="1" outline="0" axis="axisValues" fieldPosition="0"/>
    </format>
    <format dxfId="480">
      <pivotArea dataOnly="0" labelOnly="1" fieldPosition="0">
        <references count="1">
          <reference field="3" count="0"/>
        </references>
      </pivotArea>
    </format>
    <format dxfId="479">
      <pivotArea dataOnly="0" labelOnly="1" grandRow="1" outline="0" fieldPosition="0"/>
    </format>
    <format dxfId="478">
      <pivotArea dataOnly="0" labelOnly="1" outline="0" axis="axisValues" fieldPosition="0"/>
    </format>
    <format dxfId="477">
      <pivotArea type="all" dataOnly="0" outline="0" fieldPosition="0"/>
    </format>
    <format dxfId="476">
      <pivotArea outline="0" collapsedLevelsAreSubtotals="1" fieldPosition="0"/>
    </format>
    <format dxfId="475">
      <pivotArea field="3" type="button" dataOnly="0" labelOnly="1" outline="0" axis="axisRow" fieldPosition="0"/>
    </format>
    <format dxfId="474">
      <pivotArea dataOnly="0" labelOnly="1" outline="0" axis="axisValues" fieldPosition="0"/>
    </format>
    <format dxfId="473">
      <pivotArea dataOnly="0" labelOnly="1" fieldPosition="0">
        <references count="1">
          <reference field="3" count="0"/>
        </references>
      </pivotArea>
    </format>
    <format dxfId="472">
      <pivotArea dataOnly="0" labelOnly="1" grandRow="1" outline="0" fieldPosition="0"/>
    </format>
    <format dxfId="471">
      <pivotArea dataOnly="0" labelOnly="1" outline="0" axis="axisValues" fieldPosition="0"/>
    </format>
    <format dxfId="470">
      <pivotArea type="all" dataOnly="0" outline="0" fieldPosition="0"/>
    </format>
    <format dxfId="469">
      <pivotArea outline="0" collapsedLevelsAreSubtotals="1" fieldPosition="0"/>
    </format>
    <format dxfId="468">
      <pivotArea field="3" type="button" dataOnly="0" labelOnly="1" outline="0" axis="axisRow" fieldPosition="0"/>
    </format>
    <format dxfId="467">
      <pivotArea dataOnly="0" labelOnly="1" outline="0" axis="axisValues" fieldPosition="0"/>
    </format>
    <format dxfId="466">
      <pivotArea dataOnly="0" labelOnly="1" fieldPosition="0">
        <references count="1">
          <reference field="3" count="0"/>
        </references>
      </pivotArea>
    </format>
    <format dxfId="465">
      <pivotArea dataOnly="0" labelOnly="1" grandRow="1" outline="0" fieldPosition="0"/>
    </format>
    <format dxfId="464">
      <pivotArea dataOnly="0" labelOnly="1" outline="0" axis="axisValues" fieldPosition="0"/>
    </format>
    <format dxfId="463">
      <pivotArea type="all" dataOnly="0" outline="0" fieldPosition="0"/>
    </format>
    <format dxfId="462">
      <pivotArea outline="0" collapsedLevelsAreSubtotals="1" fieldPosition="0"/>
    </format>
    <format dxfId="461">
      <pivotArea field="3" type="button" dataOnly="0" labelOnly="1" outline="0" axis="axisRow" fieldPosition="0"/>
    </format>
    <format dxfId="460">
      <pivotArea dataOnly="0" labelOnly="1" outline="0" axis="axisValues" fieldPosition="0"/>
    </format>
    <format dxfId="459">
      <pivotArea dataOnly="0" labelOnly="1" fieldPosition="0">
        <references count="1">
          <reference field="3" count="0"/>
        </references>
      </pivotArea>
    </format>
    <format dxfId="458">
      <pivotArea dataOnly="0" labelOnly="1" grandRow="1" outline="0" fieldPosition="0"/>
    </format>
    <format dxfId="457">
      <pivotArea dataOnly="0" labelOnly="1" outline="0" axis="axisValues" fieldPosition="0"/>
    </format>
    <format dxfId="456">
      <pivotArea type="all" dataOnly="0" outline="0" fieldPosition="0"/>
    </format>
    <format dxfId="455">
      <pivotArea outline="0" collapsedLevelsAreSubtotals="1" fieldPosition="0"/>
    </format>
    <format dxfId="454">
      <pivotArea field="3" type="button" dataOnly="0" labelOnly="1" outline="0" axis="axisRow" fieldPosition="0"/>
    </format>
    <format dxfId="453">
      <pivotArea dataOnly="0" labelOnly="1" outline="0" axis="axisValues" fieldPosition="0"/>
    </format>
    <format dxfId="452">
      <pivotArea dataOnly="0" labelOnly="1" fieldPosition="0">
        <references count="1">
          <reference field="3" count="0"/>
        </references>
      </pivotArea>
    </format>
    <format dxfId="451">
      <pivotArea dataOnly="0" labelOnly="1" grandRow="1" outline="0" fieldPosition="0"/>
    </format>
    <format dxfId="450">
      <pivotArea dataOnly="0" labelOnly="1" outline="0" axis="axisValues" fieldPosition="0"/>
    </format>
    <format dxfId="449">
      <pivotArea type="all" dataOnly="0" outline="0" fieldPosition="0"/>
    </format>
    <format dxfId="448">
      <pivotArea outline="0" collapsedLevelsAreSubtotals="1" fieldPosition="0"/>
    </format>
    <format dxfId="447">
      <pivotArea field="3" type="button" dataOnly="0" labelOnly="1" outline="0" axis="axisRow" fieldPosition="0"/>
    </format>
    <format dxfId="446">
      <pivotArea dataOnly="0" labelOnly="1" outline="0" axis="axisValues" fieldPosition="0"/>
    </format>
    <format dxfId="445">
      <pivotArea dataOnly="0" labelOnly="1" fieldPosition="0">
        <references count="1">
          <reference field="3" count="0"/>
        </references>
      </pivotArea>
    </format>
    <format dxfId="444">
      <pivotArea dataOnly="0" labelOnly="1" grandRow="1" outline="0" fieldPosition="0"/>
    </format>
    <format dxfId="443">
      <pivotArea dataOnly="0" labelOnly="1" outline="0" axis="axisValues" fieldPosition="0"/>
    </format>
    <format dxfId="442">
      <pivotArea type="all" dataOnly="0" outline="0" fieldPosition="0"/>
    </format>
    <format dxfId="441">
      <pivotArea outline="0" collapsedLevelsAreSubtotals="1" fieldPosition="0"/>
    </format>
    <format dxfId="440">
      <pivotArea field="3" type="button" dataOnly="0" labelOnly="1" outline="0" axis="axisRow" fieldPosition="0"/>
    </format>
    <format dxfId="439">
      <pivotArea dataOnly="0" labelOnly="1" outline="0" axis="axisValues" fieldPosition="0"/>
    </format>
    <format dxfId="438">
      <pivotArea dataOnly="0" labelOnly="1" fieldPosition="0">
        <references count="1">
          <reference field="3" count="0"/>
        </references>
      </pivotArea>
    </format>
    <format dxfId="437">
      <pivotArea dataOnly="0" labelOnly="1" grandRow="1" outline="0" fieldPosition="0"/>
    </format>
    <format dxfId="436">
      <pivotArea dataOnly="0" labelOnly="1" outline="0" axis="axisValues" fieldPosition="0"/>
    </format>
    <format dxfId="435">
      <pivotArea type="all" dataOnly="0" outline="0" fieldPosition="0"/>
    </format>
    <format dxfId="434">
      <pivotArea outline="0" collapsedLevelsAreSubtotals="1" fieldPosition="0"/>
    </format>
    <format dxfId="433">
      <pivotArea field="3" type="button" dataOnly="0" labelOnly="1" outline="0" axis="axisRow" fieldPosition="0"/>
    </format>
    <format dxfId="432">
      <pivotArea dataOnly="0" labelOnly="1" outline="0" axis="axisValues" fieldPosition="0"/>
    </format>
    <format dxfId="431">
      <pivotArea dataOnly="0" labelOnly="1" fieldPosition="0">
        <references count="1">
          <reference field="3" count="0"/>
        </references>
      </pivotArea>
    </format>
    <format dxfId="430">
      <pivotArea dataOnly="0" labelOnly="1" grandRow="1" outline="0" fieldPosition="0"/>
    </format>
    <format dxfId="429">
      <pivotArea dataOnly="0" labelOnly="1" outline="0" axis="axisValues" fieldPosition="0"/>
    </format>
    <format dxfId="428">
      <pivotArea type="all" dataOnly="0" outline="0" fieldPosition="0"/>
    </format>
    <format dxfId="427">
      <pivotArea outline="0" collapsedLevelsAreSubtotals="1" fieldPosition="0"/>
    </format>
    <format dxfId="426">
      <pivotArea field="3" type="button" dataOnly="0" labelOnly="1" outline="0" axis="axisRow" fieldPosition="0"/>
    </format>
    <format dxfId="425">
      <pivotArea dataOnly="0" labelOnly="1" outline="0" axis="axisValues" fieldPosition="0"/>
    </format>
    <format dxfId="424">
      <pivotArea dataOnly="0" labelOnly="1" fieldPosition="0">
        <references count="1">
          <reference field="3" count="0"/>
        </references>
      </pivotArea>
    </format>
    <format dxfId="423">
      <pivotArea dataOnly="0" labelOnly="1" grandRow="1" outline="0" fieldPosition="0"/>
    </format>
    <format dxfId="422">
      <pivotArea dataOnly="0" labelOnly="1" outline="0" axis="axisValues" fieldPosition="0"/>
    </format>
    <format dxfId="421">
      <pivotArea type="all" dataOnly="0" outline="0" fieldPosition="0"/>
    </format>
    <format dxfId="420">
      <pivotArea outline="0" collapsedLevelsAreSubtotals="1" fieldPosition="0"/>
    </format>
    <format dxfId="419">
      <pivotArea field="3" type="button" dataOnly="0" labelOnly="1" outline="0" axis="axisRow" fieldPosition="0"/>
    </format>
    <format dxfId="418">
      <pivotArea dataOnly="0" labelOnly="1" outline="0" axis="axisValues" fieldPosition="0"/>
    </format>
    <format dxfId="417">
      <pivotArea dataOnly="0" labelOnly="1" fieldPosition="0">
        <references count="1">
          <reference field="3" count="0"/>
        </references>
      </pivotArea>
    </format>
    <format dxfId="416">
      <pivotArea dataOnly="0" labelOnly="1" grandRow="1" outline="0" fieldPosition="0"/>
    </format>
    <format dxfId="415">
      <pivotArea dataOnly="0" labelOnly="1" outline="0" axis="axisValues" fieldPosition="0"/>
    </format>
    <format dxfId="414">
      <pivotArea collapsedLevelsAreSubtotals="1" fieldPosition="0">
        <references count="1">
          <reference field="3" count="1">
            <x v="0"/>
          </reference>
        </references>
      </pivotArea>
    </format>
    <format dxfId="413">
      <pivotArea collapsedLevelsAreSubtotals="1" fieldPosition="0">
        <references count="1">
          <reference field="3" count="1">
            <x v="1"/>
          </reference>
        </references>
      </pivotArea>
    </format>
    <format dxfId="412">
      <pivotArea collapsedLevelsAreSubtotals="1" fieldPosition="0">
        <references count="1">
          <reference field="3" count="1">
            <x v="2"/>
          </reference>
        </references>
      </pivotArea>
    </format>
    <format dxfId="411">
      <pivotArea collapsedLevelsAreSubtotals="1" fieldPosition="0">
        <references count="1">
          <reference field="3" count="1">
            <x v="3"/>
          </reference>
        </references>
      </pivotArea>
    </format>
    <format dxfId="410">
      <pivotArea collapsedLevelsAreSubtotals="1" fieldPosition="0">
        <references count="1">
          <reference field="3" count="1">
            <x v="4"/>
          </reference>
        </references>
      </pivotArea>
    </format>
    <format dxfId="409">
      <pivotArea collapsedLevelsAreSubtotals="1" fieldPosition="0">
        <references count="1">
          <reference field="3" count="1">
            <x v="5"/>
          </reference>
        </references>
      </pivotArea>
    </format>
    <format dxfId="408">
      <pivotArea grandRow="1" outline="0" collapsedLevelsAreSubtotals="1" fieldPosition="0"/>
    </format>
    <format dxfId="407">
      <pivotArea type="all" dataOnly="0" outline="0" fieldPosition="0"/>
    </format>
    <format dxfId="406">
      <pivotArea outline="0" collapsedLevelsAreSubtotals="1" fieldPosition="0"/>
    </format>
    <format dxfId="405">
      <pivotArea field="3" type="button" dataOnly="0" labelOnly="1" outline="0" axis="axisRow" fieldPosition="0"/>
    </format>
    <format dxfId="404">
      <pivotArea dataOnly="0" labelOnly="1" outline="0" axis="axisValues" fieldPosition="0"/>
    </format>
    <format dxfId="403">
      <pivotArea dataOnly="0" labelOnly="1" fieldPosition="0">
        <references count="1">
          <reference field="3" count="0"/>
        </references>
      </pivotArea>
    </format>
    <format dxfId="402">
      <pivotArea dataOnly="0" labelOnly="1" grandRow="1" outline="0" fieldPosition="0"/>
    </format>
    <format dxfId="401">
      <pivotArea dataOnly="0" labelOnly="1" outline="0" axis="axisValues" fieldPosition="0"/>
    </format>
    <format dxfId="400">
      <pivotArea type="all" dataOnly="0" outline="0" fieldPosition="0"/>
    </format>
    <format dxfId="399">
      <pivotArea outline="0" collapsedLevelsAreSubtotals="1" fieldPosition="0"/>
    </format>
    <format dxfId="398">
      <pivotArea field="3" type="button" dataOnly="0" labelOnly="1" outline="0" axis="axisRow" fieldPosition="0"/>
    </format>
    <format dxfId="397">
      <pivotArea dataOnly="0" labelOnly="1" outline="0" axis="axisValues" fieldPosition="0"/>
    </format>
    <format dxfId="396">
      <pivotArea dataOnly="0" labelOnly="1" fieldPosition="0">
        <references count="1">
          <reference field="3" count="0"/>
        </references>
      </pivotArea>
    </format>
    <format dxfId="395">
      <pivotArea dataOnly="0" labelOnly="1" grandRow="1" outline="0" fieldPosition="0"/>
    </format>
    <format dxfId="394">
      <pivotArea dataOnly="0" labelOnly="1" outline="0" axis="axisValues" fieldPosition="0"/>
    </format>
    <format dxfId="393">
      <pivotArea field="3" type="button" dataOnly="0" labelOnly="1" outline="0" axis="axisRow" fieldPosition="0"/>
    </format>
    <format dxfId="392">
      <pivotArea dataOnly="0" labelOnly="1" outline="0" axis="axisValues" fieldPosition="0"/>
    </format>
    <format dxfId="391">
      <pivotArea dataOnly="0" labelOnly="1" outline="0" axis="axisValues" fieldPosition="0"/>
    </format>
    <format dxfId="390">
      <pivotArea field="3" type="button" dataOnly="0" labelOnly="1" outline="0" axis="axisRow" fieldPosition="0"/>
    </format>
    <format dxfId="389">
      <pivotArea dataOnly="0" labelOnly="1" outline="0" axis="axisValues" fieldPosition="0"/>
    </format>
    <format dxfId="388">
      <pivotArea dataOnly="0" labelOnly="1" outline="0" axis="axisValues" fieldPosition="0"/>
    </format>
    <format dxfId="387">
      <pivotArea field="3" type="button" dataOnly="0" labelOnly="1" outline="0" axis="axisRow" fieldPosition="0"/>
    </format>
    <format dxfId="386">
      <pivotArea dataOnly="0" labelOnly="1" outline="0" axis="axisValues" fieldPosition="0"/>
    </format>
    <format dxfId="385">
      <pivotArea dataOnly="0" labelOnly="1" outline="0" axis="axisValues" fieldPosition="0"/>
    </format>
    <format dxfId="384">
      <pivotArea field="3" type="button" dataOnly="0" labelOnly="1" outline="0" axis="axisRow" fieldPosition="0"/>
    </format>
    <format dxfId="383">
      <pivotArea dataOnly="0" labelOnly="1" outline="0" axis="axisValues" fieldPosition="0"/>
    </format>
    <format dxfId="382">
      <pivotArea dataOnly="0" labelOnly="1" outline="0" axis="axisValues" fieldPosition="0"/>
    </format>
    <format dxfId="381">
      <pivotArea collapsedLevelsAreSubtotals="1" fieldPosition="0">
        <references count="1">
          <reference field="3" count="0"/>
        </references>
      </pivotArea>
    </format>
    <format dxfId="380">
      <pivotArea dataOnly="0" labelOnly="1" fieldPosition="0">
        <references count="1">
          <reference field="3" count="0"/>
        </references>
      </pivotArea>
    </format>
    <format dxfId="379">
      <pivotArea collapsedLevelsAreSubtotals="1" fieldPosition="0">
        <references count="1">
          <reference field="3" count="0"/>
        </references>
      </pivotArea>
    </format>
    <format dxfId="378">
      <pivotArea dataOnly="0" labelOnly="1" fieldPosition="0">
        <references count="1">
          <reference field="3" count="0"/>
        </references>
      </pivotArea>
    </format>
    <format dxfId="377">
      <pivotArea grandRow="1" outline="0" collapsedLevelsAreSubtotals="1" fieldPosition="0"/>
    </format>
    <format dxfId="376">
      <pivotArea dataOnly="0" labelOnly="1" grandRow="1" outline="0" fieldPosition="0"/>
    </format>
    <format dxfId="375">
      <pivotArea grandRow="1" outline="0" collapsedLevelsAreSubtotals="1" fieldPosition="0"/>
    </format>
    <format dxfId="374">
      <pivotArea dataOnly="0" labelOnly="1" grandRow="1" outline="0" fieldPosition="0"/>
    </format>
    <format dxfId="373">
      <pivotArea type="all" dataOnly="0" outline="0" fieldPosition="0"/>
    </format>
    <format dxfId="372">
      <pivotArea outline="0" collapsedLevelsAreSubtotals="1" fieldPosition="0"/>
    </format>
    <format dxfId="371">
      <pivotArea field="3" type="button" dataOnly="0" labelOnly="1" outline="0" axis="axisRow" fieldPosition="0"/>
    </format>
    <format dxfId="370">
      <pivotArea dataOnly="0" labelOnly="1" outline="0" axis="axisValues" fieldPosition="0"/>
    </format>
    <format dxfId="369">
      <pivotArea dataOnly="0" labelOnly="1" fieldPosition="0">
        <references count="1">
          <reference field="3" count="0"/>
        </references>
      </pivotArea>
    </format>
    <format dxfId="368">
      <pivotArea dataOnly="0" labelOnly="1" grandRow="1" outline="0" fieldPosition="0"/>
    </format>
    <format dxfId="367">
      <pivotArea dataOnly="0" labelOnly="1" outline="0" axis="axisValues" fieldPosition="0"/>
    </format>
    <format dxfId="366">
      <pivotArea type="all" dataOnly="0" outline="0" fieldPosition="0"/>
    </format>
    <format dxfId="365">
      <pivotArea outline="0" collapsedLevelsAreSubtotals="1" fieldPosition="0"/>
    </format>
    <format dxfId="364">
      <pivotArea field="3" type="button" dataOnly="0" labelOnly="1" outline="0" axis="axisRow" fieldPosition="0"/>
    </format>
    <format dxfId="363">
      <pivotArea dataOnly="0" labelOnly="1" outline="0" axis="axisValues" fieldPosition="0"/>
    </format>
    <format dxfId="362">
      <pivotArea dataOnly="0" labelOnly="1" fieldPosition="0">
        <references count="1">
          <reference field="3" count="0"/>
        </references>
      </pivotArea>
    </format>
    <format dxfId="361">
      <pivotArea dataOnly="0" labelOnly="1" grandRow="1" outline="0" fieldPosition="0"/>
    </format>
    <format dxfId="360">
      <pivotArea dataOnly="0" labelOnly="1" outline="0" axis="axisValues" fieldPosition="0"/>
    </format>
    <format dxfId="359">
      <pivotArea type="all" dataOnly="0" outline="0" fieldPosition="0"/>
    </format>
    <format dxfId="358">
      <pivotArea outline="0" collapsedLevelsAreSubtotals="1" fieldPosition="0"/>
    </format>
    <format dxfId="357">
      <pivotArea field="3" type="button" dataOnly="0" labelOnly="1" outline="0" axis="axisRow" fieldPosition="0"/>
    </format>
    <format dxfId="356">
      <pivotArea dataOnly="0" labelOnly="1" outline="0" axis="axisValues" fieldPosition="0"/>
    </format>
    <format dxfId="355">
      <pivotArea dataOnly="0" labelOnly="1" fieldPosition="0">
        <references count="1">
          <reference field="3" count="0"/>
        </references>
      </pivotArea>
    </format>
    <format dxfId="354">
      <pivotArea dataOnly="0" labelOnly="1" grandRow="1" outline="0" fieldPosition="0"/>
    </format>
    <format dxfId="353">
      <pivotArea dataOnly="0" labelOnly="1" outline="0" axis="axisValues" fieldPosition="0"/>
    </format>
    <format dxfId="352">
      <pivotArea type="all" dataOnly="0" outline="0" fieldPosition="0"/>
    </format>
    <format dxfId="351">
      <pivotArea outline="0" collapsedLevelsAreSubtotals="1" fieldPosition="0"/>
    </format>
    <format dxfId="350">
      <pivotArea field="3" type="button" dataOnly="0" labelOnly="1" outline="0" axis="axisRow" fieldPosition="0"/>
    </format>
    <format dxfId="349">
      <pivotArea dataOnly="0" labelOnly="1" outline="0" axis="axisValues" fieldPosition="0"/>
    </format>
    <format dxfId="348">
      <pivotArea dataOnly="0" labelOnly="1" fieldPosition="0">
        <references count="1">
          <reference field="3" count="0"/>
        </references>
      </pivotArea>
    </format>
    <format dxfId="347">
      <pivotArea dataOnly="0" labelOnly="1" grandRow="1" outline="0" fieldPosition="0"/>
    </format>
    <format dxfId="346">
      <pivotArea dataOnly="0" labelOnly="1" outline="0" axis="axisValues" fieldPosition="0"/>
    </format>
    <format dxfId="345">
      <pivotArea type="all" dataOnly="0" outline="0" fieldPosition="0"/>
    </format>
    <format dxfId="344">
      <pivotArea outline="0" collapsedLevelsAreSubtotals="1" fieldPosition="0"/>
    </format>
    <format dxfId="343">
      <pivotArea field="3" type="button" dataOnly="0" labelOnly="1" outline="0" axis="axisRow" fieldPosition="0"/>
    </format>
    <format dxfId="342">
      <pivotArea dataOnly="0" labelOnly="1" outline="0" axis="axisValues" fieldPosition="0"/>
    </format>
    <format dxfId="341">
      <pivotArea dataOnly="0" labelOnly="1" fieldPosition="0">
        <references count="1">
          <reference field="3" count="0"/>
        </references>
      </pivotArea>
    </format>
    <format dxfId="340">
      <pivotArea dataOnly="0" labelOnly="1" grandRow="1" outline="0" fieldPosition="0"/>
    </format>
    <format dxfId="339">
      <pivotArea dataOnly="0" labelOnly="1" outline="0" axis="axisValues" fieldPosition="0"/>
    </format>
    <format dxfId="338">
      <pivotArea type="all" dataOnly="0" outline="0" fieldPosition="0"/>
    </format>
    <format dxfId="337">
      <pivotArea outline="0" collapsedLevelsAreSubtotals="1" fieldPosition="0"/>
    </format>
    <format dxfId="336">
      <pivotArea field="3" type="button" dataOnly="0" labelOnly="1" outline="0" axis="axisRow" fieldPosition="0"/>
    </format>
    <format dxfId="335">
      <pivotArea dataOnly="0" labelOnly="1" outline="0" axis="axisValues" fieldPosition="0"/>
    </format>
    <format dxfId="334">
      <pivotArea dataOnly="0" labelOnly="1" fieldPosition="0">
        <references count="1">
          <reference field="3" count="0"/>
        </references>
      </pivotArea>
    </format>
    <format dxfId="333">
      <pivotArea dataOnly="0" labelOnly="1" grandRow="1" outline="0" fieldPosition="0"/>
    </format>
    <format dxfId="332">
      <pivotArea dataOnly="0" labelOnly="1" outline="0" axis="axisValues" fieldPosition="0"/>
    </format>
    <format dxfId="331">
      <pivotArea type="all" dataOnly="0" outline="0" fieldPosition="0"/>
    </format>
    <format dxfId="330">
      <pivotArea outline="0" collapsedLevelsAreSubtotals="1" fieldPosition="0"/>
    </format>
    <format dxfId="329">
      <pivotArea field="3" type="button" dataOnly="0" labelOnly="1" outline="0" axis="axisRow" fieldPosition="0"/>
    </format>
    <format dxfId="328">
      <pivotArea dataOnly="0" labelOnly="1" outline="0" axis="axisValues" fieldPosition="0"/>
    </format>
    <format dxfId="327">
      <pivotArea dataOnly="0" labelOnly="1" fieldPosition="0">
        <references count="1">
          <reference field="3" count="0"/>
        </references>
      </pivotArea>
    </format>
    <format dxfId="326">
      <pivotArea dataOnly="0" labelOnly="1" grandRow="1" outline="0" fieldPosition="0"/>
    </format>
    <format dxfId="325">
      <pivotArea dataOnly="0" labelOnly="1" outline="0" axis="axisValues" fieldPosition="0"/>
    </format>
    <format dxfId="324">
      <pivotArea type="all" dataOnly="0" outline="0" fieldPosition="0"/>
    </format>
    <format dxfId="323">
      <pivotArea outline="0" collapsedLevelsAreSubtotals="1" fieldPosition="0"/>
    </format>
    <format dxfId="322">
      <pivotArea field="3" type="button" dataOnly="0" labelOnly="1" outline="0" axis="axisRow" fieldPosition="0"/>
    </format>
    <format dxfId="321">
      <pivotArea dataOnly="0" labelOnly="1" outline="0" axis="axisValues" fieldPosition="0"/>
    </format>
    <format dxfId="320">
      <pivotArea dataOnly="0" labelOnly="1" fieldPosition="0">
        <references count="1">
          <reference field="3" count="0"/>
        </references>
      </pivotArea>
    </format>
    <format dxfId="319">
      <pivotArea dataOnly="0" labelOnly="1" grandRow="1" outline="0" fieldPosition="0"/>
    </format>
    <format dxfId="318">
      <pivotArea dataOnly="0" labelOnly="1" outline="0" axis="axisValues" fieldPosition="0"/>
    </format>
    <format dxfId="317">
      <pivotArea type="all" dataOnly="0" outline="0" fieldPosition="0"/>
    </format>
    <format dxfId="316">
      <pivotArea outline="0" collapsedLevelsAreSubtotals="1" fieldPosition="0"/>
    </format>
    <format dxfId="315">
      <pivotArea field="3" type="button" dataOnly="0" labelOnly="1" outline="0" axis="axisRow" fieldPosition="0"/>
    </format>
    <format dxfId="314">
      <pivotArea dataOnly="0" labelOnly="1" outline="0" axis="axisValues" fieldPosition="0"/>
    </format>
    <format dxfId="313">
      <pivotArea dataOnly="0" labelOnly="1" fieldPosition="0">
        <references count="1">
          <reference field="3" count="0"/>
        </references>
      </pivotArea>
    </format>
    <format dxfId="312">
      <pivotArea dataOnly="0" labelOnly="1" grandRow="1" outline="0" fieldPosition="0"/>
    </format>
    <format dxfId="311">
      <pivotArea dataOnly="0" labelOnly="1" outline="0" axis="axisValues" fieldPosition="0"/>
    </format>
    <format dxfId="310">
      <pivotArea type="all" dataOnly="0" outline="0" fieldPosition="0"/>
    </format>
    <format dxfId="309">
      <pivotArea outline="0" collapsedLevelsAreSubtotals="1" fieldPosition="0"/>
    </format>
    <format dxfId="308">
      <pivotArea field="3" type="button" dataOnly="0" labelOnly="1" outline="0" axis="axisRow" fieldPosition="0"/>
    </format>
    <format dxfId="307">
      <pivotArea dataOnly="0" labelOnly="1" outline="0" axis="axisValues" fieldPosition="0"/>
    </format>
    <format dxfId="306">
      <pivotArea dataOnly="0" labelOnly="1" fieldPosition="0">
        <references count="1">
          <reference field="3" count="0"/>
        </references>
      </pivotArea>
    </format>
    <format dxfId="305">
      <pivotArea dataOnly="0" labelOnly="1" grandRow="1" outline="0" fieldPosition="0"/>
    </format>
    <format dxfId="304">
      <pivotArea dataOnly="0" labelOnly="1" outline="0" axis="axisValues" fieldPosition="0"/>
    </format>
    <format dxfId="303">
      <pivotArea type="all" dataOnly="0" outline="0" fieldPosition="0"/>
    </format>
    <format dxfId="302">
      <pivotArea outline="0" collapsedLevelsAreSubtotals="1" fieldPosition="0"/>
    </format>
    <format dxfId="301">
      <pivotArea field="3" type="button" dataOnly="0" labelOnly="1" outline="0" axis="axisRow" fieldPosition="0"/>
    </format>
    <format dxfId="300">
      <pivotArea dataOnly="0" labelOnly="1" outline="0" axis="axisValues" fieldPosition="0"/>
    </format>
    <format dxfId="299">
      <pivotArea dataOnly="0" labelOnly="1" fieldPosition="0">
        <references count="1">
          <reference field="3" count="0"/>
        </references>
      </pivotArea>
    </format>
    <format dxfId="298">
      <pivotArea dataOnly="0" labelOnly="1" grandRow="1" outline="0" fieldPosition="0"/>
    </format>
    <format dxfId="297">
      <pivotArea dataOnly="0" labelOnly="1" outline="0" axis="axisValues" fieldPosition="0"/>
    </format>
    <format dxfId="296">
      <pivotArea type="all" dataOnly="0" outline="0" fieldPosition="0"/>
    </format>
    <format dxfId="295">
      <pivotArea outline="0" collapsedLevelsAreSubtotals="1" fieldPosition="0"/>
    </format>
    <format dxfId="294">
      <pivotArea field="3" type="button" dataOnly="0" labelOnly="1" outline="0" axis="axisRow" fieldPosition="0"/>
    </format>
    <format dxfId="293">
      <pivotArea dataOnly="0" labelOnly="1" outline="0" axis="axisValues" fieldPosition="0"/>
    </format>
    <format dxfId="292">
      <pivotArea dataOnly="0" labelOnly="1" fieldPosition="0">
        <references count="1">
          <reference field="3" count="0"/>
        </references>
      </pivotArea>
    </format>
    <format dxfId="291">
      <pivotArea dataOnly="0" labelOnly="1" grandRow="1" outline="0" fieldPosition="0"/>
    </format>
    <format dxfId="290">
      <pivotArea dataOnly="0" labelOnly="1" outline="0" axis="axisValues" fieldPosition="0"/>
    </format>
    <format dxfId="289">
      <pivotArea type="all" dataOnly="0" outline="0" fieldPosition="0"/>
    </format>
    <format dxfId="288">
      <pivotArea outline="0" collapsedLevelsAreSubtotals="1" fieldPosition="0"/>
    </format>
    <format dxfId="287">
      <pivotArea field="3" type="button" dataOnly="0" labelOnly="1" outline="0" axis="axisRow" fieldPosition="0"/>
    </format>
    <format dxfId="286">
      <pivotArea dataOnly="0" labelOnly="1" outline="0" axis="axisValues" fieldPosition="0"/>
    </format>
    <format dxfId="285">
      <pivotArea dataOnly="0" labelOnly="1" fieldPosition="0">
        <references count="1">
          <reference field="3" count="0"/>
        </references>
      </pivotArea>
    </format>
    <format dxfId="284">
      <pivotArea dataOnly="0" labelOnly="1" grandRow="1" outline="0" fieldPosition="0"/>
    </format>
    <format dxfId="283">
      <pivotArea dataOnly="0" labelOnly="1" outline="0" axis="axisValues" fieldPosition="0"/>
    </format>
    <format dxfId="282">
      <pivotArea type="all" dataOnly="0" outline="0" fieldPosition="0"/>
    </format>
    <format dxfId="281">
      <pivotArea outline="0" collapsedLevelsAreSubtotals="1" fieldPosition="0"/>
    </format>
    <format dxfId="280">
      <pivotArea field="3" type="button" dataOnly="0" labelOnly="1" outline="0" axis="axisRow" fieldPosition="0"/>
    </format>
    <format dxfId="279">
      <pivotArea dataOnly="0" labelOnly="1" outline="0" axis="axisValues" fieldPosition="0"/>
    </format>
    <format dxfId="278">
      <pivotArea dataOnly="0" labelOnly="1" fieldPosition="0">
        <references count="1">
          <reference field="3" count="0"/>
        </references>
      </pivotArea>
    </format>
    <format dxfId="277">
      <pivotArea dataOnly="0" labelOnly="1" grandRow="1" outline="0" fieldPosition="0"/>
    </format>
    <format dxfId="276">
      <pivotArea dataOnly="0" labelOnly="1" outline="0" axis="axisValues" fieldPosition="0"/>
    </format>
    <format dxfId="275">
      <pivotArea type="all" dataOnly="0" outline="0" fieldPosition="0"/>
    </format>
    <format dxfId="274">
      <pivotArea outline="0" collapsedLevelsAreSubtotals="1" fieldPosition="0"/>
    </format>
    <format dxfId="273">
      <pivotArea field="3" type="button" dataOnly="0" labelOnly="1" outline="0" axis="axisRow" fieldPosition="0"/>
    </format>
    <format dxfId="272">
      <pivotArea dataOnly="0" labelOnly="1" outline="0" axis="axisValues" fieldPosition="0"/>
    </format>
    <format dxfId="271">
      <pivotArea dataOnly="0" labelOnly="1" fieldPosition="0">
        <references count="1">
          <reference field="3" count="0"/>
        </references>
      </pivotArea>
    </format>
    <format dxfId="270">
      <pivotArea dataOnly="0" labelOnly="1" grandRow="1" outline="0" fieldPosition="0"/>
    </format>
    <format dxfId="269">
      <pivotArea dataOnly="0" labelOnly="1" outline="0" axis="axisValues" fieldPosition="0"/>
    </format>
    <format dxfId="268">
      <pivotArea type="all" dataOnly="0" outline="0" fieldPosition="0"/>
    </format>
    <format dxfId="267">
      <pivotArea outline="0" collapsedLevelsAreSubtotals="1" fieldPosition="0"/>
    </format>
    <format dxfId="266">
      <pivotArea field="3" type="button" dataOnly="0" labelOnly="1" outline="0" axis="axisRow" fieldPosition="0"/>
    </format>
    <format dxfId="265">
      <pivotArea dataOnly="0" labelOnly="1" outline="0" axis="axisValues" fieldPosition="0"/>
    </format>
    <format dxfId="264">
      <pivotArea dataOnly="0" labelOnly="1" fieldPosition="0">
        <references count="1">
          <reference field="3" count="0"/>
        </references>
      </pivotArea>
    </format>
    <format dxfId="263">
      <pivotArea dataOnly="0" labelOnly="1" grandRow="1" outline="0" fieldPosition="0"/>
    </format>
    <format dxfId="262">
      <pivotArea dataOnly="0" labelOnly="1" outline="0" axis="axisValues" fieldPosition="0"/>
    </format>
    <format dxfId="261">
      <pivotArea type="all" dataOnly="0" outline="0" fieldPosition="0"/>
    </format>
    <format dxfId="260">
      <pivotArea outline="0" collapsedLevelsAreSubtotals="1" fieldPosition="0"/>
    </format>
    <format dxfId="259">
      <pivotArea field="3" type="button" dataOnly="0" labelOnly="1" outline="0" axis="axisRow" fieldPosition="0"/>
    </format>
    <format dxfId="258">
      <pivotArea dataOnly="0" labelOnly="1" outline="0" axis="axisValues" fieldPosition="0"/>
    </format>
    <format dxfId="257">
      <pivotArea dataOnly="0" labelOnly="1" fieldPosition="0">
        <references count="1">
          <reference field="3" count="0"/>
        </references>
      </pivotArea>
    </format>
    <format dxfId="256">
      <pivotArea dataOnly="0" labelOnly="1" grandRow="1" outline="0" fieldPosition="0"/>
    </format>
    <format dxfId="255">
      <pivotArea dataOnly="0" labelOnly="1" outline="0" axis="axisValues" fieldPosition="0"/>
    </format>
    <format dxfId="254">
      <pivotArea type="all" dataOnly="0" outline="0" fieldPosition="0"/>
    </format>
    <format dxfId="253">
      <pivotArea outline="0" collapsedLevelsAreSubtotals="1" fieldPosition="0"/>
    </format>
    <format dxfId="252">
      <pivotArea field="3" type="button" dataOnly="0" labelOnly="1" outline="0" axis="axisRow" fieldPosition="0"/>
    </format>
    <format dxfId="251">
      <pivotArea dataOnly="0" labelOnly="1" outline="0" axis="axisValues" fieldPosition="0"/>
    </format>
    <format dxfId="250">
      <pivotArea dataOnly="0" labelOnly="1" fieldPosition="0">
        <references count="1">
          <reference field="3" count="0"/>
        </references>
      </pivotArea>
    </format>
    <format dxfId="249">
      <pivotArea dataOnly="0" labelOnly="1" grandRow="1" outline="0" fieldPosition="0"/>
    </format>
    <format dxfId="248">
      <pivotArea dataOnly="0" labelOnly="1" outline="0" axis="axisValues" fieldPosition="0"/>
    </format>
    <format dxfId="247">
      <pivotArea collapsedLevelsAreSubtotals="1" fieldPosition="0">
        <references count="1">
          <reference field="3" count="1">
            <x v="0"/>
          </reference>
        </references>
      </pivotArea>
    </format>
    <format dxfId="246">
      <pivotArea collapsedLevelsAreSubtotals="1" fieldPosition="0">
        <references count="1">
          <reference field="3" count="1">
            <x v="1"/>
          </reference>
        </references>
      </pivotArea>
    </format>
    <format dxfId="245">
      <pivotArea collapsedLevelsAreSubtotals="1" fieldPosition="0">
        <references count="1">
          <reference field="3" count="1">
            <x v="2"/>
          </reference>
        </references>
      </pivotArea>
    </format>
    <format dxfId="244">
      <pivotArea collapsedLevelsAreSubtotals="1" fieldPosition="0">
        <references count="1">
          <reference field="3" count="1">
            <x v="3"/>
          </reference>
        </references>
      </pivotArea>
    </format>
    <format dxfId="243">
      <pivotArea collapsedLevelsAreSubtotals="1" fieldPosition="0">
        <references count="1">
          <reference field="3" count="1">
            <x v="4"/>
          </reference>
        </references>
      </pivotArea>
    </format>
    <format dxfId="242">
      <pivotArea collapsedLevelsAreSubtotals="1" fieldPosition="0">
        <references count="1">
          <reference field="3" count="1">
            <x v="5"/>
          </reference>
        </references>
      </pivotArea>
    </format>
    <format dxfId="241">
      <pivotArea grandRow="1" outline="0" collapsedLevelsAreSubtotals="1" fieldPosition="0"/>
    </format>
    <format dxfId="240">
      <pivotArea field="3" type="button" dataOnly="0" labelOnly="1" outline="0" axis="axisRow" fieldPosition="0"/>
    </format>
    <format dxfId="239">
      <pivotArea dataOnly="0" labelOnly="1" outline="0" axis="axisValues" fieldPosition="0"/>
    </format>
    <format dxfId="238">
      <pivotArea dataOnly="0" labelOnly="1" outline="0" axis="axisValues" fieldPosition="0"/>
    </format>
    <format dxfId="237">
      <pivotArea field="3" type="button" dataOnly="0" labelOnly="1" outline="0" axis="axisRow" fieldPosition="0"/>
    </format>
    <format dxfId="236">
      <pivotArea dataOnly="0" labelOnly="1" outline="0" axis="axisValues" fieldPosition="0"/>
    </format>
    <format dxfId="235">
      <pivotArea dataOnly="0" labelOnly="1" outline="0" axis="axisValues" fieldPosition="0"/>
    </format>
    <format dxfId="234">
      <pivotArea field="3" type="button" dataOnly="0" labelOnly="1" outline="0" axis="axisRow" fieldPosition="0"/>
    </format>
    <format dxfId="233">
      <pivotArea dataOnly="0" labelOnly="1" outline="0" axis="axisValues" fieldPosition="0"/>
    </format>
    <format dxfId="232">
      <pivotArea dataOnly="0" labelOnly="1" outline="0" axis="axisValues" fieldPosition="0"/>
    </format>
    <format dxfId="231">
      <pivotArea field="3" type="button" dataOnly="0" labelOnly="1" outline="0" axis="axisRow" fieldPosition="0"/>
    </format>
    <format dxfId="230">
      <pivotArea dataOnly="0" labelOnly="1" outline="0" axis="axisValues" fieldPosition="0"/>
    </format>
    <format dxfId="229">
      <pivotArea dataOnly="0" labelOnly="1" outline="0" axis="axisValues" fieldPosition="0"/>
    </format>
    <format dxfId="228">
      <pivotArea field="3" type="button" dataOnly="0" labelOnly="1" outline="0" axis="axisRow" fieldPosition="0"/>
    </format>
    <format dxfId="227">
      <pivotArea dataOnly="0" labelOnly="1" outline="0" axis="axisValues" fieldPosition="0"/>
    </format>
    <format dxfId="226">
      <pivotArea dataOnly="0" labelOnly="1" outline="0" axis="axisValues" fieldPosition="0"/>
    </format>
    <format dxfId="225">
      <pivotArea field="3" type="button" dataOnly="0" labelOnly="1" outline="0" axis="axisRow" fieldPosition="0"/>
    </format>
    <format dxfId="224">
      <pivotArea dataOnly="0" labelOnly="1" outline="0" axis="axisValues" fieldPosition="0"/>
    </format>
    <format dxfId="223">
      <pivotArea dataOnly="0" labelOnly="1" outline="0" axis="axisValues" fieldPosition="0"/>
    </format>
    <format dxfId="222">
      <pivotArea field="3" type="button" dataOnly="0" labelOnly="1" outline="0" axis="axisRow" fieldPosition="0"/>
    </format>
    <format dxfId="221">
      <pivotArea dataOnly="0" labelOnly="1" outline="0" axis="axisValues" fieldPosition="0"/>
    </format>
    <format dxfId="220">
      <pivotArea dataOnly="0" labelOnly="1" outline="0" axis="axisValues" fieldPosition="0"/>
    </format>
    <format dxfId="219">
      <pivotArea field="3" type="button" dataOnly="0" labelOnly="1" outline="0" axis="axisRow" fieldPosition="0"/>
    </format>
    <format dxfId="218">
      <pivotArea dataOnly="0" labelOnly="1" outline="0" axis="axisValues" fieldPosition="0"/>
    </format>
    <format dxfId="217">
      <pivotArea dataOnly="0" labelOnly="1" outline="0" axis="axisValues" fieldPosition="0"/>
    </format>
    <format dxfId="216">
      <pivotArea field="3" type="button" dataOnly="0" labelOnly="1" outline="0" axis="axisRow" fieldPosition="0"/>
    </format>
    <format dxfId="215">
      <pivotArea dataOnly="0" labelOnly="1" outline="0" axis="axisValues" fieldPosition="0"/>
    </format>
    <format dxfId="214">
      <pivotArea dataOnly="0" labelOnly="1" outline="0" axis="axisValues" fieldPosition="0"/>
    </format>
    <format dxfId="213">
      <pivotArea field="3" type="button" dataOnly="0" labelOnly="1" outline="0" axis="axisRow" fieldPosition="0"/>
    </format>
    <format dxfId="212">
      <pivotArea dataOnly="0" labelOnly="1" outline="0" axis="axisValues" fieldPosition="0"/>
    </format>
    <format dxfId="211">
      <pivotArea dataOnly="0" labelOnly="1" outline="0" axis="axisValues" fieldPosition="0"/>
    </format>
    <format dxfId="210">
      <pivotArea field="3" type="button" dataOnly="0" labelOnly="1" outline="0" axis="axisRow" fieldPosition="0"/>
    </format>
    <format dxfId="209">
      <pivotArea dataOnly="0" labelOnly="1" outline="0" axis="axisValues" fieldPosition="0"/>
    </format>
    <format dxfId="208">
      <pivotArea dataOnly="0" labelOnly="1" outline="0" axis="axisValues" fieldPosition="0"/>
    </format>
    <format dxfId="207">
      <pivotArea field="3" type="button" dataOnly="0" labelOnly="1" outline="0" axis="axisRow" fieldPosition="0"/>
    </format>
    <format dxfId="206">
      <pivotArea dataOnly="0" labelOnly="1" outline="0" axis="axisValues" fieldPosition="0"/>
    </format>
    <format dxfId="205">
      <pivotArea dataOnly="0" labelOnly="1" outline="0" axis="axisValues" fieldPosition="0"/>
    </format>
    <format dxfId="204">
      <pivotArea field="3" type="button" dataOnly="0" labelOnly="1" outline="0" axis="axisRow" fieldPosition="0"/>
    </format>
    <format dxfId="203">
      <pivotArea dataOnly="0" labelOnly="1" outline="0" axis="axisValues" fieldPosition="0"/>
    </format>
    <format dxfId="202">
      <pivotArea dataOnly="0" labelOnly="1" outline="0" axis="axisValues" fieldPosition="0"/>
    </format>
    <format dxfId="201">
      <pivotArea field="3" type="button" dataOnly="0" labelOnly="1" outline="0" axis="axisRow" fieldPosition="0"/>
    </format>
    <format dxfId="200">
      <pivotArea dataOnly="0" labelOnly="1" outline="0" axis="axisValues" fieldPosition="0"/>
    </format>
    <format dxfId="199">
      <pivotArea dataOnly="0" labelOnly="1" outline="0" axis="axisValues" fieldPosition="0"/>
    </format>
    <format dxfId="198">
      <pivotArea field="3" type="button" dataOnly="0" labelOnly="1" outline="0" axis="axisRow" fieldPosition="0"/>
    </format>
    <format dxfId="197">
      <pivotArea dataOnly="0" labelOnly="1" outline="0" axis="axisValues" fieldPosition="0"/>
    </format>
    <format dxfId="196">
      <pivotArea dataOnly="0" labelOnly="1" outline="0" axis="axisValues" fieldPosition="0"/>
    </format>
    <format dxfId="195">
      <pivotArea field="3" type="button" dataOnly="0" labelOnly="1" outline="0" axis="axisRow" fieldPosition="0"/>
    </format>
    <format dxfId="194">
      <pivotArea dataOnly="0" labelOnly="1" outline="0" axis="axisValues" fieldPosition="0"/>
    </format>
    <format dxfId="193">
      <pivotArea dataOnly="0" labelOnly="1" outline="0" axis="axisValues" fieldPosition="0"/>
    </format>
    <format dxfId="192">
      <pivotArea field="3" type="button" dataOnly="0" labelOnly="1" outline="0" axis="axisRow" fieldPosition="0"/>
    </format>
    <format dxfId="191">
      <pivotArea dataOnly="0" labelOnly="1" outline="0" axis="axisValues" fieldPosition="0"/>
    </format>
    <format dxfId="190">
      <pivotArea dataOnly="0" labelOnly="1" outline="0" axis="axisValues" fieldPosition="0"/>
    </format>
    <format dxfId="189">
      <pivotArea field="3" type="button" dataOnly="0" labelOnly="1" outline="0" axis="axisRow" fieldPosition="0"/>
    </format>
    <format dxfId="188">
      <pivotArea dataOnly="0" labelOnly="1" outline="0" axis="axisValues" fieldPosition="0"/>
    </format>
    <format dxfId="187">
      <pivotArea dataOnly="0" labelOnly="1" outline="0" axis="axisValues" fieldPosition="0"/>
    </format>
    <format dxfId="186">
      <pivotArea field="3" type="button" dataOnly="0" labelOnly="1" outline="0" axis="axisRow" fieldPosition="0"/>
    </format>
    <format dxfId="185">
      <pivotArea dataOnly="0" labelOnly="1" outline="0" axis="axisValues" fieldPosition="0"/>
    </format>
    <format dxfId="184">
      <pivotArea dataOnly="0" labelOnly="1" outline="0" axis="axisValues" fieldPosition="0"/>
    </format>
    <format dxfId="183">
      <pivotArea field="3" type="button" dataOnly="0" labelOnly="1" outline="0" axis="axisRow" fieldPosition="0"/>
    </format>
    <format dxfId="182">
      <pivotArea dataOnly="0" labelOnly="1" outline="0" axis="axisValues" fieldPosition="0"/>
    </format>
    <format dxfId="181">
      <pivotArea dataOnly="0" labelOnly="1" outline="0" axis="axisValues" fieldPosition="0"/>
    </format>
    <format dxfId="180">
      <pivotArea field="3" type="button" dataOnly="0" labelOnly="1" outline="0" axis="axisRow" fieldPosition="0"/>
    </format>
    <format dxfId="179">
      <pivotArea dataOnly="0" labelOnly="1" outline="0" axis="axisValues" fieldPosition="0"/>
    </format>
    <format dxfId="178">
      <pivotArea dataOnly="0" labelOnly="1" outline="0" axis="axisValues" fieldPosition="0"/>
    </format>
    <format dxfId="177">
      <pivotArea field="3" type="button" dataOnly="0" labelOnly="1" outline="0" axis="axisRow" fieldPosition="0"/>
    </format>
    <format dxfId="176">
      <pivotArea dataOnly="0" labelOnly="1" outline="0" axis="axisValues" fieldPosition="0"/>
    </format>
    <format dxfId="175">
      <pivotArea dataOnly="0" labelOnly="1" outline="0" axis="axisValues" fieldPosition="0"/>
    </format>
    <format dxfId="174">
      <pivotArea collapsedLevelsAreSubtotals="1" fieldPosition="0">
        <references count="1">
          <reference field="3" count="0"/>
        </references>
      </pivotArea>
    </format>
    <format dxfId="173">
      <pivotArea dataOnly="0" labelOnly="1" fieldPosition="0">
        <references count="1">
          <reference field="3" count="0"/>
        </references>
      </pivotArea>
    </format>
    <format dxfId="172">
      <pivotArea collapsedLevelsAreSubtotals="1" fieldPosition="0">
        <references count="1">
          <reference field="3" count="0"/>
        </references>
      </pivotArea>
    </format>
    <format dxfId="171">
      <pivotArea dataOnly="0" labelOnly="1" fieldPosition="0">
        <references count="1">
          <reference field="3" count="0"/>
        </references>
      </pivotArea>
    </format>
    <format dxfId="170">
      <pivotArea collapsedLevelsAreSubtotals="1" fieldPosition="0">
        <references count="1">
          <reference field="3" count="0"/>
        </references>
      </pivotArea>
    </format>
    <format dxfId="169">
      <pivotArea dataOnly="0" labelOnly="1" fieldPosition="0">
        <references count="1">
          <reference field="3" count="0"/>
        </references>
      </pivotArea>
    </format>
    <format dxfId="168">
      <pivotArea collapsedLevelsAreSubtotals="1" fieldPosition="0">
        <references count="1">
          <reference field="3" count="0"/>
        </references>
      </pivotArea>
    </format>
    <format dxfId="167">
      <pivotArea dataOnly="0" labelOnly="1" fieldPosition="0">
        <references count="1">
          <reference field="3" count="0"/>
        </references>
      </pivotArea>
    </format>
    <format dxfId="166">
      <pivotArea collapsedLevelsAreSubtotals="1" fieldPosition="0">
        <references count="1">
          <reference field="3" count="0"/>
        </references>
      </pivotArea>
    </format>
    <format dxfId="165">
      <pivotArea dataOnly="0" labelOnly="1" fieldPosition="0">
        <references count="1">
          <reference field="3" count="0"/>
        </references>
      </pivotArea>
    </format>
    <format dxfId="164">
      <pivotArea collapsedLevelsAreSubtotals="1" fieldPosition="0">
        <references count="1">
          <reference field="3" count="0"/>
        </references>
      </pivotArea>
    </format>
    <format dxfId="163">
      <pivotArea dataOnly="0" labelOnly="1" fieldPosition="0">
        <references count="1">
          <reference field="3" count="0"/>
        </references>
      </pivotArea>
    </format>
    <format dxfId="162">
      <pivotArea collapsedLevelsAreSubtotals="1" fieldPosition="0">
        <references count="1">
          <reference field="3" count="0"/>
        </references>
      </pivotArea>
    </format>
    <format dxfId="161">
      <pivotArea dataOnly="0" labelOnly="1" fieldPosition="0">
        <references count="1">
          <reference field="3" count="0"/>
        </references>
      </pivotArea>
    </format>
    <format dxfId="160">
      <pivotArea collapsedLevelsAreSubtotals="1" fieldPosition="0">
        <references count="1">
          <reference field="3" count="0"/>
        </references>
      </pivotArea>
    </format>
    <format dxfId="159">
      <pivotArea dataOnly="0" labelOnly="1" fieldPosition="0">
        <references count="1">
          <reference field="3" count="0"/>
        </references>
      </pivotArea>
    </format>
    <format dxfId="158">
      <pivotArea collapsedLevelsAreSubtotals="1" fieldPosition="0">
        <references count="1">
          <reference field="3" count="0"/>
        </references>
      </pivotArea>
    </format>
    <format dxfId="157">
      <pivotArea dataOnly="0" labelOnly="1" fieldPosition="0">
        <references count="1">
          <reference field="3" count="0"/>
        </references>
      </pivotArea>
    </format>
    <format dxfId="156">
      <pivotArea dataOnly="0" labelOnly="1" fieldPosition="0">
        <references count="1">
          <reference field="3" count="1">
            <x v="0"/>
          </reference>
        </references>
      </pivotArea>
    </format>
    <format dxfId="155">
      <pivotArea collapsedLevelsAreSubtotals="1" fieldPosition="0">
        <references count="1">
          <reference field="3" count="1">
            <x v="0"/>
          </reference>
        </references>
      </pivotArea>
    </format>
    <format dxfId="154">
      <pivotArea dataOnly="0" labelOnly="1" fieldPosition="0">
        <references count="1">
          <reference field="3" count="1">
            <x v="1"/>
          </reference>
        </references>
      </pivotArea>
    </format>
    <format dxfId="153">
      <pivotArea collapsedLevelsAreSubtotals="1" fieldPosition="0">
        <references count="1">
          <reference field="3" count="1">
            <x v="1"/>
          </reference>
        </references>
      </pivotArea>
    </format>
    <format dxfId="152">
      <pivotArea dataOnly="0" labelOnly="1" fieldPosition="0">
        <references count="1">
          <reference field="3" count="1">
            <x v="2"/>
          </reference>
        </references>
      </pivotArea>
    </format>
    <format dxfId="151">
      <pivotArea collapsedLevelsAreSubtotals="1" fieldPosition="0">
        <references count="1">
          <reference field="3" count="1">
            <x v="2"/>
          </reference>
        </references>
      </pivotArea>
    </format>
    <format dxfId="150">
      <pivotArea dataOnly="0" labelOnly="1" fieldPosition="0">
        <references count="1">
          <reference field="3" count="1">
            <x v="3"/>
          </reference>
        </references>
      </pivotArea>
    </format>
    <format dxfId="149">
      <pivotArea collapsedLevelsAreSubtotals="1" fieldPosition="0">
        <references count="1">
          <reference field="3" count="1">
            <x v="3"/>
          </reference>
        </references>
      </pivotArea>
    </format>
    <format dxfId="148">
      <pivotArea dataOnly="0" labelOnly="1" fieldPosition="0">
        <references count="1">
          <reference field="3" count="1">
            <x v="4"/>
          </reference>
        </references>
      </pivotArea>
    </format>
    <format dxfId="147">
      <pivotArea collapsedLevelsAreSubtotals="1" fieldPosition="0">
        <references count="1">
          <reference field="3" count="1">
            <x v="4"/>
          </reference>
        </references>
      </pivotArea>
    </format>
    <format dxfId="146">
      <pivotArea dataOnly="0" labelOnly="1" fieldPosition="0">
        <references count="1">
          <reference field="3" count="1">
            <x v="5"/>
          </reference>
        </references>
      </pivotArea>
    </format>
    <format dxfId="145">
      <pivotArea collapsedLevelsAreSubtotals="1" fieldPosition="0">
        <references count="1">
          <reference field="3" count="1">
            <x v="5"/>
          </reference>
        </references>
      </pivotArea>
    </format>
    <format dxfId="144">
      <pivotArea collapsedLevelsAreSubtotals="1" fieldPosition="0">
        <references count="1">
          <reference field="3" count="0"/>
        </references>
      </pivotArea>
    </format>
    <format dxfId="143">
      <pivotArea dataOnly="0" labelOnly="1" fieldPosition="0">
        <references count="1">
          <reference field="3" count="0"/>
        </references>
      </pivotArea>
    </format>
    <format dxfId="142">
      <pivotArea collapsedLevelsAreSubtotals="1" fieldPosition="0">
        <references count="1">
          <reference field="3" count="0"/>
        </references>
      </pivotArea>
    </format>
    <format dxfId="141">
      <pivotArea dataOnly="0" labelOnly="1" fieldPosition="0">
        <references count="1">
          <reference field="3" count="0"/>
        </references>
      </pivotArea>
    </format>
    <format dxfId="140">
      <pivotArea collapsedLevelsAreSubtotals="1" fieldPosition="0">
        <references count="1">
          <reference field="3" count="0"/>
        </references>
      </pivotArea>
    </format>
    <format dxfId="139">
      <pivotArea dataOnly="0" labelOnly="1" fieldPosition="0">
        <references count="1">
          <reference field="3" count="0"/>
        </references>
      </pivotArea>
    </format>
    <format dxfId="138">
      <pivotArea collapsedLevelsAreSubtotals="1" fieldPosition="0">
        <references count="1">
          <reference field="3" count="0"/>
        </references>
      </pivotArea>
    </format>
    <format dxfId="137">
      <pivotArea dataOnly="0" labelOnly="1" fieldPosition="0">
        <references count="1">
          <reference field="3" count="0"/>
        </references>
      </pivotArea>
    </format>
    <format dxfId="136">
      <pivotArea collapsedLevelsAreSubtotals="1" fieldPosition="0">
        <references count="1">
          <reference field="3" count="0"/>
        </references>
      </pivotArea>
    </format>
    <format dxfId="135">
      <pivotArea dataOnly="0" labelOnly="1" fieldPosition="0">
        <references count="1">
          <reference field="3" count="0"/>
        </references>
      </pivotArea>
    </format>
    <format dxfId="134">
      <pivotArea collapsedLevelsAreSubtotals="1" fieldPosition="0">
        <references count="1">
          <reference field="3" count="0"/>
        </references>
      </pivotArea>
    </format>
    <format dxfId="133">
      <pivotArea dataOnly="0" labelOnly="1" fieldPosition="0">
        <references count="1">
          <reference field="3" count="0"/>
        </references>
      </pivotArea>
    </format>
    <format dxfId="132">
      <pivotArea collapsedLevelsAreSubtotals="1" fieldPosition="0">
        <references count="1">
          <reference field="3" count="0"/>
        </references>
      </pivotArea>
    </format>
    <format dxfId="131">
      <pivotArea dataOnly="0" labelOnly="1" fieldPosition="0">
        <references count="1">
          <reference field="3" count="0"/>
        </references>
      </pivotArea>
    </format>
    <format dxfId="130">
      <pivotArea collapsedLevelsAreSubtotals="1" fieldPosition="0">
        <references count="1">
          <reference field="3" count="0"/>
        </references>
      </pivotArea>
    </format>
    <format dxfId="129">
      <pivotArea dataOnly="0" labelOnly="1" fieldPosition="0">
        <references count="1">
          <reference field="3" count="0"/>
        </references>
      </pivotArea>
    </format>
    <format dxfId="128">
      <pivotArea collapsedLevelsAreSubtotals="1" fieldPosition="0">
        <references count="1">
          <reference field="3" count="0"/>
        </references>
      </pivotArea>
    </format>
    <format dxfId="127">
      <pivotArea dataOnly="0" labelOnly="1" fieldPosition="0">
        <references count="1">
          <reference field="3" count="0"/>
        </references>
      </pivotArea>
    </format>
    <format dxfId="126">
      <pivotArea collapsedLevelsAreSubtotals="1" fieldPosition="0">
        <references count="1">
          <reference field="3" count="0"/>
        </references>
      </pivotArea>
    </format>
    <format dxfId="125">
      <pivotArea dataOnly="0" labelOnly="1" fieldPosition="0">
        <references count="1">
          <reference field="3" count="0"/>
        </references>
      </pivotArea>
    </format>
    <format dxfId="124">
      <pivotArea collapsedLevelsAreSubtotals="1" fieldPosition="0">
        <references count="1">
          <reference field="3" count="0"/>
        </references>
      </pivotArea>
    </format>
    <format dxfId="123">
      <pivotArea dataOnly="0" labelOnly="1" fieldPosition="0">
        <references count="1">
          <reference field="3" count="0"/>
        </references>
      </pivotArea>
    </format>
    <format dxfId="122">
      <pivotArea collapsedLevelsAreSubtotals="1" fieldPosition="0">
        <references count="1">
          <reference field="3" count="0"/>
        </references>
      </pivotArea>
    </format>
    <format dxfId="121">
      <pivotArea dataOnly="0" labelOnly="1" fieldPosition="0">
        <references count="1">
          <reference field="3" count="0"/>
        </references>
      </pivotArea>
    </format>
    <format dxfId="120">
      <pivotArea grandRow="1" outline="0" collapsedLevelsAreSubtotals="1" fieldPosition="0"/>
    </format>
    <format dxfId="119">
      <pivotArea dataOnly="0" labelOnly="1" grandRow="1" outline="0" fieldPosition="0"/>
    </format>
    <format dxfId="118">
      <pivotArea grandRow="1" outline="0" collapsedLevelsAreSubtotals="1" fieldPosition="0"/>
    </format>
    <format dxfId="117">
      <pivotArea dataOnly="0" labelOnly="1" grandRow="1" outline="0" fieldPosition="0"/>
    </format>
    <format dxfId="116">
      <pivotArea grandRow="1" outline="0" collapsedLevelsAreSubtotals="1" fieldPosition="0"/>
    </format>
    <format dxfId="115">
      <pivotArea dataOnly="0" labelOnly="1" grandRow="1" outline="0" fieldPosition="0"/>
    </format>
    <format dxfId="114">
      <pivotArea grandRow="1" outline="0" collapsedLevelsAreSubtotals="1" fieldPosition="0"/>
    </format>
    <format dxfId="113">
      <pivotArea dataOnly="0" labelOnly="1" grandRow="1" outline="0" fieldPosition="0"/>
    </format>
    <format dxfId="112">
      <pivotArea grandRow="1" outline="0" collapsedLevelsAreSubtotals="1" fieldPosition="0"/>
    </format>
    <format dxfId="111">
      <pivotArea dataOnly="0" labelOnly="1" grandRow="1" outline="0" fieldPosition="0"/>
    </format>
    <format dxfId="110">
      <pivotArea grandRow="1" outline="0" collapsedLevelsAreSubtotals="1" fieldPosition="0"/>
    </format>
    <format dxfId="109">
      <pivotArea dataOnly="0" labelOnly="1" grandRow="1" outline="0" fieldPosition="0"/>
    </format>
    <format dxfId="108">
      <pivotArea grandRow="1" outline="0" collapsedLevelsAreSubtotals="1" fieldPosition="0"/>
    </format>
    <format dxfId="107">
      <pivotArea dataOnly="0" labelOnly="1" grandRow="1" outline="0" fieldPosition="0"/>
    </format>
    <format dxfId="106">
      <pivotArea grandRow="1" outline="0" collapsedLevelsAreSubtotals="1" fieldPosition="0"/>
    </format>
    <format dxfId="105">
      <pivotArea dataOnly="0" labelOnly="1" grandRow="1" outline="0" fieldPosition="0"/>
    </format>
    <format dxfId="104">
      <pivotArea grandRow="1" outline="0" collapsedLevelsAreSubtotals="1" fieldPosition="0"/>
    </format>
    <format dxfId="103">
      <pivotArea dataOnly="0" labelOnly="1" grandRow="1" outline="0" fieldPosition="0"/>
    </format>
    <format dxfId="102">
      <pivotArea dataOnly="0" labelOnly="1" grandRow="1" outline="0" fieldPosition="0"/>
    </format>
    <format dxfId="101">
      <pivotArea grandRow="1" outline="0" collapsedLevelsAreSubtotals="1" fieldPosition="0"/>
    </format>
    <format dxfId="100">
      <pivotArea grandRow="1" outline="0" collapsedLevelsAreSubtotals="1" fieldPosition="0"/>
    </format>
    <format dxfId="99">
      <pivotArea dataOnly="0" labelOnly="1" grandRow="1" outline="0" fieldPosition="0"/>
    </format>
    <format dxfId="98">
      <pivotArea grandRow="1" outline="0" collapsedLevelsAreSubtotals="1" fieldPosition="0"/>
    </format>
    <format dxfId="97">
      <pivotArea dataOnly="0" labelOnly="1" grandRow="1" outline="0" fieldPosition="0"/>
    </format>
    <format dxfId="96">
      <pivotArea grandRow="1" outline="0" collapsedLevelsAreSubtotals="1" fieldPosition="0"/>
    </format>
    <format dxfId="95">
      <pivotArea dataOnly="0" labelOnly="1" grandRow="1" outline="0" fieldPosition="0"/>
    </format>
    <format dxfId="94">
      <pivotArea grandRow="1" outline="0" collapsedLevelsAreSubtotals="1" fieldPosition="0"/>
    </format>
    <format dxfId="93">
      <pivotArea dataOnly="0" labelOnly="1" grandRow="1" outline="0" fieldPosition="0"/>
    </format>
    <format dxfId="92">
      <pivotArea grandRow="1" outline="0" collapsedLevelsAreSubtotals="1" fieldPosition="0"/>
    </format>
    <format dxfId="91">
      <pivotArea dataOnly="0" labelOnly="1" grandRow="1" outline="0" fieldPosition="0"/>
    </format>
    <format dxfId="90">
      <pivotArea grandRow="1" outline="0" collapsedLevelsAreSubtotals="1" fieldPosition="0"/>
    </format>
    <format dxfId="89">
      <pivotArea dataOnly="0" labelOnly="1" grandRow="1" outline="0" fieldPosition="0"/>
    </format>
    <format dxfId="88">
      <pivotArea grandRow="1" outline="0" collapsedLevelsAreSubtotals="1" fieldPosition="0"/>
    </format>
    <format dxfId="87">
      <pivotArea dataOnly="0" labelOnly="1" grandRow="1" outline="0" fieldPosition="0"/>
    </format>
    <format dxfId="86">
      <pivotArea grandRow="1" outline="0" collapsedLevelsAreSubtotals="1" fieldPosition="0"/>
    </format>
    <format dxfId="85">
      <pivotArea dataOnly="0" labelOnly="1" grandRow="1" outline="0" fieldPosition="0"/>
    </format>
    <format dxfId="84">
      <pivotArea grandRow="1" outline="0" collapsedLevelsAreSubtotals="1" fieldPosition="0"/>
    </format>
    <format dxfId="83">
      <pivotArea dataOnly="0" labelOnly="1" grandRow="1" outline="0" fieldPosition="0"/>
    </format>
    <format dxfId="82">
      <pivotArea grandRow="1" outline="0" collapsedLevelsAreSubtotals="1" fieldPosition="0"/>
    </format>
    <format dxfId="81">
      <pivotArea dataOnly="0" labelOnly="1" grandRow="1" outline="0" fieldPosition="0"/>
    </format>
    <format dxfId="80">
      <pivotArea grandRow="1" outline="0" collapsedLevelsAreSubtotals="1" fieldPosition="0"/>
    </format>
    <format dxfId="79">
      <pivotArea dataOnly="0" labelOnly="1" grandRow="1" outline="0" fieldPosition="0"/>
    </format>
    <format dxfId="78">
      <pivotArea grandRow="1" outline="0" collapsedLevelsAreSubtotals="1" fieldPosition="0"/>
    </format>
    <format dxfId="77">
      <pivotArea dataOnly="0" labelOnly="1" grandRow="1" outline="0" fieldPosition="0"/>
    </format>
    <format dxfId="76">
      <pivotArea outline="0" collapsedLevelsAreSubtotals="1" fieldPosition="0"/>
    </format>
    <format dxfId="75">
      <pivotArea outline="0" collapsedLevelsAreSubtotals="1" fieldPosition="0"/>
    </format>
    <format dxfId="74">
      <pivotArea outline="0" collapsedLevelsAreSubtotals="1" fieldPosition="0"/>
    </format>
    <format dxfId="73">
      <pivotArea outline="0" collapsedLevelsAreSubtotals="1" fieldPosition="0"/>
    </format>
    <format dxfId="72">
      <pivotArea outline="0" collapsedLevelsAreSubtotals="1" fieldPosition="0"/>
    </format>
    <format dxfId="71">
      <pivotArea outline="0" collapsedLevelsAreSubtotals="1" fieldPosition="0"/>
    </format>
    <format dxfId="70">
      <pivotArea outline="0" collapsedLevelsAreSubtotals="1" fieldPosition="0"/>
    </format>
    <format dxfId="69">
      <pivotArea outline="0" collapsedLevelsAreSubtotals="1" fieldPosition="0"/>
    </format>
    <format dxfId="68">
      <pivotArea outline="0" collapsedLevelsAreSubtotals="1" fieldPosition="0"/>
    </format>
    <format dxfId="67">
      <pivotArea collapsedLevelsAreSubtotals="1" fieldPosition="0">
        <references count="1">
          <reference field="3" count="1">
            <x v="0"/>
          </reference>
        </references>
      </pivotArea>
    </format>
    <format dxfId="66">
      <pivotArea collapsedLevelsAreSubtotals="1" fieldPosition="0">
        <references count="1">
          <reference field="3" count="1">
            <x v="1"/>
          </reference>
        </references>
      </pivotArea>
    </format>
    <format dxfId="65">
      <pivotArea collapsedLevelsAreSubtotals="1" fieldPosition="0">
        <references count="1">
          <reference field="3" count="1">
            <x v="2"/>
          </reference>
        </references>
      </pivotArea>
    </format>
    <format dxfId="64">
      <pivotArea collapsedLevelsAreSubtotals="1" fieldPosition="0">
        <references count="1">
          <reference field="3" count="1">
            <x v="3"/>
          </reference>
        </references>
      </pivotArea>
    </format>
    <format dxfId="63">
      <pivotArea collapsedLevelsAreSubtotals="1" fieldPosition="0">
        <references count="1">
          <reference field="3" count="1">
            <x v="4"/>
          </reference>
        </references>
      </pivotArea>
    </format>
    <format dxfId="62">
      <pivotArea collapsedLevelsAreSubtotals="1" fieldPosition="0">
        <references count="1">
          <reference field="3" count="1">
            <x v="5"/>
          </reference>
        </references>
      </pivotArea>
    </format>
    <format dxfId="61">
      <pivotArea grandRow="1" outline="0" collapsedLevelsAreSubtotals="1" fieldPosition="0"/>
    </format>
    <format dxfId="60">
      <pivotArea outline="0" collapsedLevelsAreSubtotals="1" fieldPosition="0"/>
    </format>
    <format dxfId="59">
      <pivotArea outline="0" collapsedLevelsAreSubtotals="1" fieldPosition="0"/>
    </format>
    <format dxfId="58">
      <pivotArea outline="0" collapsedLevelsAreSubtotals="1" fieldPosition="0"/>
    </format>
    <format dxfId="57">
      <pivotArea outline="0" collapsedLevelsAreSubtotals="1" fieldPosition="0"/>
    </format>
    <format dxfId="56">
      <pivotArea outline="0" collapsedLevelsAreSubtotals="1" fieldPosition="0"/>
    </format>
    <format dxfId="55">
      <pivotArea outline="0" collapsedLevelsAreSubtotals="1" fieldPosition="0"/>
    </format>
    <format dxfId="54">
      <pivotArea outline="0" collapsedLevelsAreSubtotals="1" fieldPosition="0"/>
    </format>
    <format dxfId="53">
      <pivotArea outline="0" collapsedLevelsAreSubtotals="1" fieldPosition="0"/>
    </format>
    <format dxfId="52">
      <pivotArea outline="0" collapsedLevelsAreSubtotals="1" fieldPosition="0"/>
    </format>
    <format dxfId="51">
      <pivotArea outline="0" collapsedLevelsAreSubtotals="1" fieldPosition="0"/>
    </format>
    <format dxfId="50">
      <pivotArea outline="0" collapsedLevelsAreSubtotals="1" fieldPosition="0"/>
    </format>
    <format dxfId="49">
      <pivotArea outline="0" collapsedLevelsAreSubtotals="1" fieldPosition="0"/>
    </format>
    <format dxfId="48">
      <pivotArea grandRow="1" outline="0" collapsedLevelsAreSubtotals="1" fieldPosition="0"/>
    </format>
    <format dxfId="47">
      <pivotArea dataOnly="0" labelOnly="1" grandRow="1" outline="0" fieldPosition="0"/>
    </format>
    <format dxfId="46">
      <pivotArea grandRow="1" outline="0" collapsedLevelsAreSubtotals="1" fieldPosition="0"/>
    </format>
    <format dxfId="45">
      <pivotArea dataOnly="0" labelOnly="1" grandRow="1" outline="0" fieldPosition="0"/>
    </format>
    <format dxfId="44">
      <pivotArea grandRow="1" outline="0" collapsedLevelsAreSubtotals="1" fieldPosition="0"/>
    </format>
    <format dxfId="43">
      <pivotArea dataOnly="0" labelOnly="1" grandRow="1" outline="0" fieldPosition="0"/>
    </format>
    <format dxfId="42">
      <pivotArea grandRow="1" outline="0" collapsedLevelsAreSubtotals="1" fieldPosition="0"/>
    </format>
    <format dxfId="41">
      <pivotArea dataOnly="0" labelOnly="1" grandRow="1" outline="0" fieldPosition="0"/>
    </format>
    <format dxfId="40">
      <pivotArea grandRow="1" outline="0" collapsedLevelsAreSubtotals="1" fieldPosition="0"/>
    </format>
    <format dxfId="39">
      <pivotArea dataOnly="0" labelOnly="1" grandRow="1" outline="0" fieldPosition="0"/>
    </format>
    <format dxfId="38">
      <pivotArea grandRow="1" outline="0" collapsedLevelsAreSubtotals="1" fieldPosition="0"/>
    </format>
    <format dxfId="37">
      <pivotArea dataOnly="0" labelOnly="1" grandRow="1" outline="0" fieldPosition="0"/>
    </format>
    <format dxfId="36">
      <pivotArea grandRow="1" outline="0" collapsedLevelsAreSubtotals="1" fieldPosition="0"/>
    </format>
    <format dxfId="35">
      <pivotArea dataOnly="0" labelOnly="1" grandRow="1" outline="0" fieldPosition="0"/>
    </format>
    <format dxfId="34">
      <pivotArea grandRow="1" outline="0" collapsedLevelsAreSubtotals="1" fieldPosition="0"/>
    </format>
    <format dxfId="33">
      <pivotArea dataOnly="0" labelOnly="1" grandRow="1" outline="0" fieldPosition="0"/>
    </format>
    <format dxfId="32">
      <pivotArea grandRow="1" outline="0" collapsedLevelsAreSubtotals="1" fieldPosition="0"/>
    </format>
    <format dxfId="31">
      <pivotArea dataOnly="0" labelOnly="1" grandRow="1" outline="0" fieldPosition="0"/>
    </format>
    <format dxfId="30">
      <pivotArea dataOnly="0" labelOnly="1" grandRow="1" outline="0" fieldPosition="0"/>
    </format>
    <format dxfId="29">
      <pivotArea grandRow="1" outline="0" collapsedLevelsAreSubtotals="1" fieldPosition="0"/>
    </format>
    <format dxfId="28">
      <pivotArea grandRow="1" outline="0" collapsedLevelsAreSubtotals="1" fieldPosition="0"/>
    </format>
    <format dxfId="27">
      <pivotArea dataOnly="0" labelOnly="1" grandRow="1" outline="0" fieldPosition="0"/>
    </format>
    <format dxfId="26">
      <pivotArea grandRow="1" outline="0" collapsedLevelsAreSubtotals="1" fieldPosition="0"/>
    </format>
    <format dxfId="25">
      <pivotArea dataOnly="0" labelOnly="1" grandRow="1" outline="0" fieldPosition="0"/>
    </format>
    <format dxfId="24">
      <pivotArea grandRow="1" outline="0" collapsedLevelsAreSubtotals="1" fieldPosition="0"/>
    </format>
    <format dxfId="23">
      <pivotArea dataOnly="0" labelOnly="1" grandRow="1" outline="0" fieldPosition="0"/>
    </format>
    <format dxfId="22">
      <pivotArea grandRow="1" outline="0" collapsedLevelsAreSubtotals="1" fieldPosition="0"/>
    </format>
    <format dxfId="21">
      <pivotArea dataOnly="0" labelOnly="1" grandRow="1" outline="0" fieldPosition="0"/>
    </format>
    <format dxfId="20">
      <pivotArea grandRow="1" outline="0" collapsedLevelsAreSubtotals="1" fieldPosition="0"/>
    </format>
    <format dxfId="19">
      <pivotArea dataOnly="0" labelOnly="1" grandRow="1" outline="0" fieldPosition="0"/>
    </format>
    <format dxfId="18">
      <pivotArea grandRow="1" outline="0" collapsedLevelsAreSubtotals="1" fieldPosition="0"/>
    </format>
    <format dxfId="17">
      <pivotArea dataOnly="0" labelOnly="1" grandRow="1" outline="0" fieldPosition="0"/>
    </format>
    <format dxfId="16">
      <pivotArea grandRow="1" outline="0" collapsedLevelsAreSubtotals="1" fieldPosition="0"/>
    </format>
    <format dxfId="15">
      <pivotArea dataOnly="0" labelOnly="1" grandRow="1" outline="0" fieldPosition="0"/>
    </format>
    <format dxfId="14">
      <pivotArea grandRow="1" outline="0" collapsedLevelsAreSubtotals="1" fieldPosition="0"/>
    </format>
    <format dxfId="13">
      <pivotArea dataOnly="0" labelOnly="1" grandRow="1" outline="0" fieldPosition="0"/>
    </format>
    <format dxfId="12">
      <pivotArea grandRow="1" outline="0" collapsedLevelsAreSubtotals="1" fieldPosition="0"/>
    </format>
    <format dxfId="11">
      <pivotArea dataOnly="0" labelOnly="1" grandRow="1" outline="0" fieldPosition="0"/>
    </format>
    <format dxfId="10">
      <pivotArea grandRow="1" outline="0" collapsedLevelsAreSubtotals="1" fieldPosition="0"/>
    </format>
    <format dxfId="9">
      <pivotArea dataOnly="0" labelOnly="1" grandRow="1" outline="0" fieldPosition="0"/>
    </format>
    <format dxfId="8">
      <pivotArea grandRow="1" outline="0" collapsedLevelsAreSubtotals="1" fieldPosition="0"/>
    </format>
    <format dxfId="7">
      <pivotArea dataOnly="0" labelOnly="1" grandRow="1" outline="0" fieldPosition="0"/>
    </format>
    <format dxfId="6">
      <pivotArea grandRow="1" outline="0" collapsedLevelsAreSubtotals="1" fieldPosition="0"/>
    </format>
    <format dxfId="5">
      <pivotArea dataOnly="0" labelOnly="1" grandRow="1" outline="0" fieldPosition="0"/>
    </format>
    <format dxfId="4">
      <pivotArea dataOnly="0" labelOnly="1" grandRow="1" outline="0" fieldPosition="0"/>
    </format>
    <format dxfId="3">
      <pivotArea dataOnly="0" labelOnly="1" grandRow="1" outline="0" fieldPosition="0"/>
    </format>
    <format dxfId="2">
      <pivotArea dataOnly="0" labelOnly="1" grandRow="1" outline="0" fieldPosition="0"/>
    </format>
    <format dxfId="1">
      <pivotArea dataOnly="0" labelOnly="1" grandRow="1" outline="0" fieldPosition="0"/>
    </format>
    <format dxfId="0">
      <pivotArea dataOnly="0" labelOnly="1" grandRow="1" outline="0" fieldPosition="0"/>
    </format>
  </formats>
  <chartFormats count="3">
    <chartFormat chart="2" format="1"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8EECD7E-88DE-4F87-88E6-AA935CB43C52}"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2">
  <location ref="A33:B38" firstHeaderRow="1" firstDataRow="1" firstDataCol="1"/>
  <pivotFields count="7">
    <pivotField dataField="1" showAll="0"/>
    <pivotField showAll="0"/>
    <pivotField showAll="0">
      <items count="8">
        <item x="3"/>
        <item x="4"/>
        <item x="2"/>
        <item x="6"/>
        <item x="5"/>
        <item x="1"/>
        <item x="0"/>
        <item t="default"/>
      </items>
    </pivotField>
    <pivotField showAll="0">
      <items count="7">
        <item x="2"/>
        <item x="0"/>
        <item x="3"/>
        <item x="1"/>
        <item x="4"/>
        <item x="5"/>
        <item t="default"/>
      </items>
    </pivotField>
    <pivotField showAll="0"/>
    <pivotField axis="axisRow" showAll="0">
      <items count="5">
        <item x="2"/>
        <item x="0"/>
        <item x="1"/>
        <item x="3"/>
        <item t="default"/>
      </items>
    </pivotField>
    <pivotField showAll="0"/>
  </pivotFields>
  <rowFields count="1">
    <field x="5"/>
  </rowFields>
  <rowItems count="5">
    <i>
      <x/>
    </i>
    <i>
      <x v="1"/>
    </i>
    <i>
      <x v="2"/>
    </i>
    <i>
      <x v="3"/>
    </i>
    <i t="grand">
      <x/>
    </i>
  </rowItems>
  <colItems count="1">
    <i/>
  </colItems>
  <dataFields count="1">
    <dataField name="Count of Order_ID" fld="0" subtotal="count" baseField="5" baseItem="0"/>
  </dataFields>
  <formats count="557">
    <format dxfId="1133">
      <pivotArea type="all" dataOnly="0" outline="0" fieldPosition="0"/>
    </format>
    <format dxfId="1132">
      <pivotArea outline="0" collapsedLevelsAreSubtotals="1" fieldPosition="0"/>
    </format>
    <format dxfId="1131">
      <pivotArea field="5" type="button" dataOnly="0" labelOnly="1" outline="0" axis="axisRow" fieldPosition="0"/>
    </format>
    <format dxfId="1130">
      <pivotArea dataOnly="0" labelOnly="1" outline="0" axis="axisValues" fieldPosition="0"/>
    </format>
    <format dxfId="1129">
      <pivotArea dataOnly="0" labelOnly="1" fieldPosition="0">
        <references count="1">
          <reference field="5" count="0"/>
        </references>
      </pivotArea>
    </format>
    <format dxfId="1128">
      <pivotArea dataOnly="0" labelOnly="1" grandRow="1" outline="0" fieldPosition="0"/>
    </format>
    <format dxfId="1127">
      <pivotArea dataOnly="0" labelOnly="1" outline="0" axis="axisValues" fieldPosition="0"/>
    </format>
    <format dxfId="1126">
      <pivotArea type="all" dataOnly="0" outline="0" fieldPosition="0"/>
    </format>
    <format dxfId="1125">
      <pivotArea outline="0" collapsedLevelsAreSubtotals="1" fieldPosition="0"/>
    </format>
    <format dxfId="1124">
      <pivotArea field="5" type="button" dataOnly="0" labelOnly="1" outline="0" axis="axisRow" fieldPosition="0"/>
    </format>
    <format dxfId="1123">
      <pivotArea dataOnly="0" labelOnly="1" outline="0" axis="axisValues" fieldPosition="0"/>
    </format>
    <format dxfId="1122">
      <pivotArea dataOnly="0" labelOnly="1" fieldPosition="0">
        <references count="1">
          <reference field="5" count="0"/>
        </references>
      </pivotArea>
    </format>
    <format dxfId="1121">
      <pivotArea dataOnly="0" labelOnly="1" grandRow="1" outline="0" fieldPosition="0"/>
    </format>
    <format dxfId="1120">
      <pivotArea dataOnly="0" labelOnly="1" outline="0" axis="axisValues" fieldPosition="0"/>
    </format>
    <format dxfId="1119">
      <pivotArea field="5" type="button" dataOnly="0" labelOnly="1" outline="0" axis="axisRow" fieldPosition="0"/>
    </format>
    <format dxfId="1118">
      <pivotArea dataOnly="0" labelOnly="1" outline="0" axis="axisValues" fieldPosition="0"/>
    </format>
    <format dxfId="1117">
      <pivotArea dataOnly="0" labelOnly="1" outline="0" axis="axisValues" fieldPosition="0"/>
    </format>
    <format dxfId="1116">
      <pivotArea field="5" type="button" dataOnly="0" labelOnly="1" outline="0" axis="axisRow" fieldPosition="0"/>
    </format>
    <format dxfId="1115">
      <pivotArea dataOnly="0" labelOnly="1" outline="0" axis="axisValues" fieldPosition="0"/>
    </format>
    <format dxfId="1114">
      <pivotArea dataOnly="0" labelOnly="1" outline="0" axis="axisValues" fieldPosition="0"/>
    </format>
    <format dxfId="1113">
      <pivotArea field="5" type="button" dataOnly="0" labelOnly="1" outline="0" axis="axisRow" fieldPosition="0"/>
    </format>
    <format dxfId="1112">
      <pivotArea dataOnly="0" labelOnly="1" outline="0" axis="axisValues" fieldPosition="0"/>
    </format>
    <format dxfId="1111">
      <pivotArea dataOnly="0" labelOnly="1" outline="0" axis="axisValues" fieldPosition="0"/>
    </format>
    <format dxfId="1110">
      <pivotArea field="5" type="button" dataOnly="0" labelOnly="1" outline="0" axis="axisRow" fieldPosition="0"/>
    </format>
    <format dxfId="1109">
      <pivotArea dataOnly="0" labelOnly="1" outline="0" axis="axisValues" fieldPosition="0"/>
    </format>
    <format dxfId="1108">
      <pivotArea dataOnly="0" labelOnly="1" outline="0" axis="axisValues" fieldPosition="0"/>
    </format>
    <format dxfId="1107">
      <pivotArea collapsedLevelsAreSubtotals="1" fieldPosition="0">
        <references count="1">
          <reference field="5" count="0"/>
        </references>
      </pivotArea>
    </format>
    <format dxfId="1106">
      <pivotArea dataOnly="0" labelOnly="1" fieldPosition="0">
        <references count="1">
          <reference field="5" count="0"/>
        </references>
      </pivotArea>
    </format>
    <format dxfId="1105">
      <pivotArea collapsedLevelsAreSubtotals="1" fieldPosition="0">
        <references count="1">
          <reference field="5" count="0"/>
        </references>
      </pivotArea>
    </format>
    <format dxfId="1104">
      <pivotArea dataOnly="0" labelOnly="1" fieldPosition="0">
        <references count="1">
          <reference field="5" count="0"/>
        </references>
      </pivotArea>
    </format>
    <format dxfId="1103">
      <pivotArea grandRow="1" outline="0" collapsedLevelsAreSubtotals="1" fieldPosition="0"/>
    </format>
    <format dxfId="1102">
      <pivotArea dataOnly="0" labelOnly="1" grandRow="1" outline="0" fieldPosition="0"/>
    </format>
    <format dxfId="1101">
      <pivotArea grandRow="1" outline="0" collapsedLevelsAreSubtotals="1" fieldPosition="0"/>
    </format>
    <format dxfId="1100">
      <pivotArea dataOnly="0" labelOnly="1" grandRow="1" outline="0" fieldPosition="0"/>
    </format>
    <format dxfId="1099">
      <pivotArea grandRow="1" outline="0" collapsedLevelsAreSubtotals="1" fieldPosition="0"/>
    </format>
    <format dxfId="1098">
      <pivotArea dataOnly="0" labelOnly="1" grandRow="1" outline="0" fieldPosition="0"/>
    </format>
    <format dxfId="1097">
      <pivotArea type="all" dataOnly="0" outline="0" fieldPosition="0"/>
    </format>
    <format dxfId="1096">
      <pivotArea outline="0" collapsedLevelsAreSubtotals="1" fieldPosition="0"/>
    </format>
    <format dxfId="1095">
      <pivotArea field="5" type="button" dataOnly="0" labelOnly="1" outline="0" axis="axisRow" fieldPosition="0"/>
    </format>
    <format dxfId="1094">
      <pivotArea dataOnly="0" labelOnly="1" outline="0" axis="axisValues" fieldPosition="0"/>
    </format>
    <format dxfId="1093">
      <pivotArea dataOnly="0" labelOnly="1" fieldPosition="0">
        <references count="1">
          <reference field="5" count="0"/>
        </references>
      </pivotArea>
    </format>
    <format dxfId="1092">
      <pivotArea dataOnly="0" labelOnly="1" grandRow="1" outline="0" fieldPosition="0"/>
    </format>
    <format dxfId="1091">
      <pivotArea dataOnly="0" labelOnly="1" outline="0" axis="axisValues" fieldPosition="0"/>
    </format>
    <format dxfId="1090">
      <pivotArea type="all" dataOnly="0" outline="0" fieldPosition="0"/>
    </format>
    <format dxfId="1089">
      <pivotArea outline="0" collapsedLevelsAreSubtotals="1" fieldPosition="0"/>
    </format>
    <format dxfId="1088">
      <pivotArea field="5" type="button" dataOnly="0" labelOnly="1" outline="0" axis="axisRow" fieldPosition="0"/>
    </format>
    <format dxfId="1087">
      <pivotArea dataOnly="0" labelOnly="1" outline="0" axis="axisValues" fieldPosition="0"/>
    </format>
    <format dxfId="1086">
      <pivotArea dataOnly="0" labelOnly="1" fieldPosition="0">
        <references count="1">
          <reference field="5" count="0"/>
        </references>
      </pivotArea>
    </format>
    <format dxfId="1085">
      <pivotArea dataOnly="0" labelOnly="1" grandRow="1" outline="0" fieldPosition="0"/>
    </format>
    <format dxfId="1084">
      <pivotArea dataOnly="0" labelOnly="1" outline="0" axis="axisValues" fieldPosition="0"/>
    </format>
    <format dxfId="1083">
      <pivotArea type="all" dataOnly="0" outline="0" fieldPosition="0"/>
    </format>
    <format dxfId="1082">
      <pivotArea outline="0" collapsedLevelsAreSubtotals="1" fieldPosition="0"/>
    </format>
    <format dxfId="1081">
      <pivotArea field="5" type="button" dataOnly="0" labelOnly="1" outline="0" axis="axisRow" fieldPosition="0"/>
    </format>
    <format dxfId="1080">
      <pivotArea dataOnly="0" labelOnly="1" outline="0" axis="axisValues" fieldPosition="0"/>
    </format>
    <format dxfId="1079">
      <pivotArea dataOnly="0" labelOnly="1" fieldPosition="0">
        <references count="1">
          <reference field="5" count="0"/>
        </references>
      </pivotArea>
    </format>
    <format dxfId="1078">
      <pivotArea dataOnly="0" labelOnly="1" grandRow="1" outline="0" fieldPosition="0"/>
    </format>
    <format dxfId="1077">
      <pivotArea dataOnly="0" labelOnly="1" outline="0" axis="axisValues" fieldPosition="0"/>
    </format>
    <format dxfId="1076">
      <pivotArea type="all" dataOnly="0" outline="0" fieldPosition="0"/>
    </format>
    <format dxfId="1075">
      <pivotArea outline="0" collapsedLevelsAreSubtotals="1" fieldPosition="0"/>
    </format>
    <format dxfId="1074">
      <pivotArea field="5" type="button" dataOnly="0" labelOnly="1" outline="0" axis="axisRow" fieldPosition="0"/>
    </format>
    <format dxfId="1073">
      <pivotArea dataOnly="0" labelOnly="1" outline="0" axis="axisValues" fieldPosition="0"/>
    </format>
    <format dxfId="1072">
      <pivotArea dataOnly="0" labelOnly="1" fieldPosition="0">
        <references count="1">
          <reference field="5" count="0"/>
        </references>
      </pivotArea>
    </format>
    <format dxfId="1071">
      <pivotArea dataOnly="0" labelOnly="1" grandRow="1" outline="0" fieldPosition="0"/>
    </format>
    <format dxfId="1070">
      <pivotArea dataOnly="0" labelOnly="1" outline="0" axis="axisValues" fieldPosition="0"/>
    </format>
    <format dxfId="1069">
      <pivotArea type="all" dataOnly="0" outline="0" fieldPosition="0"/>
    </format>
    <format dxfId="1068">
      <pivotArea outline="0" collapsedLevelsAreSubtotals="1" fieldPosition="0"/>
    </format>
    <format dxfId="1067">
      <pivotArea field="5" type="button" dataOnly="0" labelOnly="1" outline="0" axis="axisRow" fieldPosition="0"/>
    </format>
    <format dxfId="1066">
      <pivotArea dataOnly="0" labelOnly="1" outline="0" axis="axisValues" fieldPosition="0"/>
    </format>
    <format dxfId="1065">
      <pivotArea dataOnly="0" labelOnly="1" fieldPosition="0">
        <references count="1">
          <reference field="5" count="0"/>
        </references>
      </pivotArea>
    </format>
    <format dxfId="1064">
      <pivotArea dataOnly="0" labelOnly="1" grandRow="1" outline="0" fieldPosition="0"/>
    </format>
    <format dxfId="1063">
      <pivotArea dataOnly="0" labelOnly="1" outline="0" axis="axisValues" fieldPosition="0"/>
    </format>
    <format dxfId="1062">
      <pivotArea type="all" dataOnly="0" outline="0" fieldPosition="0"/>
    </format>
    <format dxfId="1061">
      <pivotArea outline="0" collapsedLevelsAreSubtotals="1" fieldPosition="0"/>
    </format>
    <format dxfId="1060">
      <pivotArea field="5" type="button" dataOnly="0" labelOnly="1" outline="0" axis="axisRow" fieldPosition="0"/>
    </format>
    <format dxfId="1059">
      <pivotArea dataOnly="0" labelOnly="1" outline="0" axis="axisValues" fieldPosition="0"/>
    </format>
    <format dxfId="1058">
      <pivotArea dataOnly="0" labelOnly="1" fieldPosition="0">
        <references count="1">
          <reference field="5" count="0"/>
        </references>
      </pivotArea>
    </format>
    <format dxfId="1057">
      <pivotArea dataOnly="0" labelOnly="1" grandRow="1" outline="0" fieldPosition="0"/>
    </format>
    <format dxfId="1056">
      <pivotArea dataOnly="0" labelOnly="1" outline="0" axis="axisValues" fieldPosition="0"/>
    </format>
    <format dxfId="1055">
      <pivotArea type="all" dataOnly="0" outline="0" fieldPosition="0"/>
    </format>
    <format dxfId="1054">
      <pivotArea outline="0" collapsedLevelsAreSubtotals="1" fieldPosition="0"/>
    </format>
    <format dxfId="1053">
      <pivotArea field="5" type="button" dataOnly="0" labelOnly="1" outline="0" axis="axisRow" fieldPosition="0"/>
    </format>
    <format dxfId="1052">
      <pivotArea dataOnly="0" labelOnly="1" outline="0" axis="axisValues" fieldPosition="0"/>
    </format>
    <format dxfId="1051">
      <pivotArea dataOnly="0" labelOnly="1" fieldPosition="0">
        <references count="1">
          <reference field="5" count="0"/>
        </references>
      </pivotArea>
    </format>
    <format dxfId="1050">
      <pivotArea dataOnly="0" labelOnly="1" grandRow="1" outline="0" fieldPosition="0"/>
    </format>
    <format dxfId="1049">
      <pivotArea dataOnly="0" labelOnly="1" outline="0" axis="axisValues" fieldPosition="0"/>
    </format>
    <format dxfId="1048">
      <pivotArea type="all" dataOnly="0" outline="0" fieldPosition="0"/>
    </format>
    <format dxfId="1047">
      <pivotArea outline="0" collapsedLevelsAreSubtotals="1" fieldPosition="0"/>
    </format>
    <format dxfId="1046">
      <pivotArea field="5" type="button" dataOnly="0" labelOnly="1" outline="0" axis="axisRow" fieldPosition="0"/>
    </format>
    <format dxfId="1045">
      <pivotArea dataOnly="0" labelOnly="1" outline="0" axis="axisValues" fieldPosition="0"/>
    </format>
    <format dxfId="1044">
      <pivotArea dataOnly="0" labelOnly="1" fieldPosition="0">
        <references count="1">
          <reference field="5" count="0"/>
        </references>
      </pivotArea>
    </format>
    <format dxfId="1043">
      <pivotArea dataOnly="0" labelOnly="1" grandRow="1" outline="0" fieldPosition="0"/>
    </format>
    <format dxfId="1042">
      <pivotArea dataOnly="0" labelOnly="1" outline="0" axis="axisValues" fieldPosition="0"/>
    </format>
    <format dxfId="1041">
      <pivotArea type="all" dataOnly="0" outline="0" fieldPosition="0"/>
    </format>
    <format dxfId="1040">
      <pivotArea outline="0" collapsedLevelsAreSubtotals="1" fieldPosition="0"/>
    </format>
    <format dxfId="1039">
      <pivotArea field="5" type="button" dataOnly="0" labelOnly="1" outline="0" axis="axisRow" fieldPosition="0"/>
    </format>
    <format dxfId="1038">
      <pivotArea dataOnly="0" labelOnly="1" outline="0" axis="axisValues" fieldPosition="0"/>
    </format>
    <format dxfId="1037">
      <pivotArea dataOnly="0" labelOnly="1" fieldPosition="0">
        <references count="1">
          <reference field="5" count="0"/>
        </references>
      </pivotArea>
    </format>
    <format dxfId="1036">
      <pivotArea dataOnly="0" labelOnly="1" grandRow="1" outline="0" fieldPosition="0"/>
    </format>
    <format dxfId="1035">
      <pivotArea dataOnly="0" labelOnly="1" outline="0" axis="axisValues" fieldPosition="0"/>
    </format>
    <format dxfId="1034">
      <pivotArea type="all" dataOnly="0" outline="0" fieldPosition="0"/>
    </format>
    <format dxfId="1033">
      <pivotArea outline="0" collapsedLevelsAreSubtotals="1" fieldPosition="0"/>
    </format>
    <format dxfId="1032">
      <pivotArea field="5" type="button" dataOnly="0" labelOnly="1" outline="0" axis="axisRow" fieldPosition="0"/>
    </format>
    <format dxfId="1031">
      <pivotArea dataOnly="0" labelOnly="1" outline="0" axis="axisValues" fieldPosition="0"/>
    </format>
    <format dxfId="1030">
      <pivotArea dataOnly="0" labelOnly="1" fieldPosition="0">
        <references count="1">
          <reference field="5" count="0"/>
        </references>
      </pivotArea>
    </format>
    <format dxfId="1029">
      <pivotArea dataOnly="0" labelOnly="1" grandRow="1" outline="0" fieldPosition="0"/>
    </format>
    <format dxfId="1028">
      <pivotArea dataOnly="0" labelOnly="1" outline="0" axis="axisValues" fieldPosition="0"/>
    </format>
    <format dxfId="1027">
      <pivotArea type="all" dataOnly="0" outline="0" fieldPosition="0"/>
    </format>
    <format dxfId="1026">
      <pivotArea outline="0" collapsedLevelsAreSubtotals="1" fieldPosition="0"/>
    </format>
    <format dxfId="1025">
      <pivotArea field="5" type="button" dataOnly="0" labelOnly="1" outline="0" axis="axisRow" fieldPosition="0"/>
    </format>
    <format dxfId="1024">
      <pivotArea dataOnly="0" labelOnly="1" outline="0" axis="axisValues" fieldPosition="0"/>
    </format>
    <format dxfId="1023">
      <pivotArea dataOnly="0" labelOnly="1" fieldPosition="0">
        <references count="1">
          <reference field="5" count="0"/>
        </references>
      </pivotArea>
    </format>
    <format dxfId="1022">
      <pivotArea dataOnly="0" labelOnly="1" grandRow="1" outline="0" fieldPosition="0"/>
    </format>
    <format dxfId="1021">
      <pivotArea dataOnly="0" labelOnly="1" outline="0" axis="axisValues" fieldPosition="0"/>
    </format>
    <format dxfId="1020">
      <pivotArea type="all" dataOnly="0" outline="0" fieldPosition="0"/>
    </format>
    <format dxfId="1019">
      <pivotArea outline="0" collapsedLevelsAreSubtotals="1" fieldPosition="0"/>
    </format>
    <format dxfId="1018">
      <pivotArea field="5" type="button" dataOnly="0" labelOnly="1" outline="0" axis="axisRow" fieldPosition="0"/>
    </format>
    <format dxfId="1017">
      <pivotArea dataOnly="0" labelOnly="1" outline="0" axis="axisValues" fieldPosition="0"/>
    </format>
    <format dxfId="1016">
      <pivotArea dataOnly="0" labelOnly="1" fieldPosition="0">
        <references count="1">
          <reference field="5" count="0"/>
        </references>
      </pivotArea>
    </format>
    <format dxfId="1015">
      <pivotArea dataOnly="0" labelOnly="1" grandRow="1" outline="0" fieldPosition="0"/>
    </format>
    <format dxfId="1014">
      <pivotArea dataOnly="0" labelOnly="1" outline="0" axis="axisValues" fieldPosition="0"/>
    </format>
    <format dxfId="1013">
      <pivotArea type="all" dataOnly="0" outline="0" fieldPosition="0"/>
    </format>
    <format dxfId="1012">
      <pivotArea outline="0" collapsedLevelsAreSubtotals="1" fieldPosition="0"/>
    </format>
    <format dxfId="1011">
      <pivotArea field="5" type="button" dataOnly="0" labelOnly="1" outline="0" axis="axisRow" fieldPosition="0"/>
    </format>
    <format dxfId="1010">
      <pivotArea dataOnly="0" labelOnly="1" outline="0" axis="axisValues" fieldPosition="0"/>
    </format>
    <format dxfId="1009">
      <pivotArea dataOnly="0" labelOnly="1" fieldPosition="0">
        <references count="1">
          <reference field="5" count="0"/>
        </references>
      </pivotArea>
    </format>
    <format dxfId="1008">
      <pivotArea dataOnly="0" labelOnly="1" grandRow="1" outline="0" fieldPosition="0"/>
    </format>
    <format dxfId="1007">
      <pivotArea dataOnly="0" labelOnly="1" outline="0" axis="axisValues" fieldPosition="0"/>
    </format>
    <format dxfId="1006">
      <pivotArea type="all" dataOnly="0" outline="0" fieldPosition="0"/>
    </format>
    <format dxfId="1005">
      <pivotArea outline="0" collapsedLevelsAreSubtotals="1" fieldPosition="0"/>
    </format>
    <format dxfId="1004">
      <pivotArea field="5" type="button" dataOnly="0" labelOnly="1" outline="0" axis="axisRow" fieldPosition="0"/>
    </format>
    <format dxfId="1003">
      <pivotArea dataOnly="0" labelOnly="1" outline="0" axis="axisValues" fieldPosition="0"/>
    </format>
    <format dxfId="1002">
      <pivotArea dataOnly="0" labelOnly="1" fieldPosition="0">
        <references count="1">
          <reference field="5" count="0"/>
        </references>
      </pivotArea>
    </format>
    <format dxfId="1001">
      <pivotArea dataOnly="0" labelOnly="1" grandRow="1" outline="0" fieldPosition="0"/>
    </format>
    <format dxfId="1000">
      <pivotArea dataOnly="0" labelOnly="1" outline="0" axis="axisValues" fieldPosition="0"/>
    </format>
    <format dxfId="999">
      <pivotArea type="all" dataOnly="0" outline="0" fieldPosition="0"/>
    </format>
    <format dxfId="998">
      <pivotArea outline="0" collapsedLevelsAreSubtotals="1" fieldPosition="0"/>
    </format>
    <format dxfId="997">
      <pivotArea field="5" type="button" dataOnly="0" labelOnly="1" outline="0" axis="axisRow" fieldPosition="0"/>
    </format>
    <format dxfId="996">
      <pivotArea dataOnly="0" labelOnly="1" outline="0" axis="axisValues" fieldPosition="0"/>
    </format>
    <format dxfId="995">
      <pivotArea dataOnly="0" labelOnly="1" fieldPosition="0">
        <references count="1">
          <reference field="5" count="0"/>
        </references>
      </pivotArea>
    </format>
    <format dxfId="994">
      <pivotArea dataOnly="0" labelOnly="1" grandRow="1" outline="0" fieldPosition="0"/>
    </format>
    <format dxfId="993">
      <pivotArea dataOnly="0" labelOnly="1" outline="0" axis="axisValues" fieldPosition="0"/>
    </format>
    <format dxfId="992">
      <pivotArea type="all" dataOnly="0" outline="0" fieldPosition="0"/>
    </format>
    <format dxfId="991">
      <pivotArea outline="0" collapsedLevelsAreSubtotals="1" fieldPosition="0"/>
    </format>
    <format dxfId="990">
      <pivotArea field="5" type="button" dataOnly="0" labelOnly="1" outline="0" axis="axisRow" fieldPosition="0"/>
    </format>
    <format dxfId="989">
      <pivotArea dataOnly="0" labelOnly="1" outline="0" axis="axisValues" fieldPosition="0"/>
    </format>
    <format dxfId="988">
      <pivotArea dataOnly="0" labelOnly="1" fieldPosition="0">
        <references count="1">
          <reference field="5" count="0"/>
        </references>
      </pivotArea>
    </format>
    <format dxfId="987">
      <pivotArea dataOnly="0" labelOnly="1" grandRow="1" outline="0" fieldPosition="0"/>
    </format>
    <format dxfId="986">
      <pivotArea dataOnly="0" labelOnly="1" outline="0" axis="axisValues" fieldPosition="0"/>
    </format>
    <format dxfId="985">
      <pivotArea type="all" dataOnly="0" outline="0" fieldPosition="0"/>
    </format>
    <format dxfId="984">
      <pivotArea outline="0" collapsedLevelsAreSubtotals="1" fieldPosition="0"/>
    </format>
    <format dxfId="983">
      <pivotArea field="5" type="button" dataOnly="0" labelOnly="1" outline="0" axis="axisRow" fieldPosition="0"/>
    </format>
    <format dxfId="982">
      <pivotArea dataOnly="0" labelOnly="1" outline="0" axis="axisValues" fieldPosition="0"/>
    </format>
    <format dxfId="981">
      <pivotArea dataOnly="0" labelOnly="1" fieldPosition="0">
        <references count="1">
          <reference field="5" count="0"/>
        </references>
      </pivotArea>
    </format>
    <format dxfId="980">
      <pivotArea dataOnly="0" labelOnly="1" grandRow="1" outline="0" fieldPosition="0"/>
    </format>
    <format dxfId="979">
      <pivotArea dataOnly="0" labelOnly="1" outline="0" axis="axisValues" fieldPosition="0"/>
    </format>
    <format dxfId="978">
      <pivotArea type="all" dataOnly="0" outline="0" fieldPosition="0"/>
    </format>
    <format dxfId="977">
      <pivotArea outline="0" collapsedLevelsAreSubtotals="1" fieldPosition="0"/>
    </format>
    <format dxfId="976">
      <pivotArea field="5" type="button" dataOnly="0" labelOnly="1" outline="0" axis="axisRow" fieldPosition="0"/>
    </format>
    <format dxfId="975">
      <pivotArea dataOnly="0" labelOnly="1" outline="0" axis="axisValues" fieldPosition="0"/>
    </format>
    <format dxfId="974">
      <pivotArea dataOnly="0" labelOnly="1" fieldPosition="0">
        <references count="1">
          <reference field="5" count="0"/>
        </references>
      </pivotArea>
    </format>
    <format dxfId="973">
      <pivotArea dataOnly="0" labelOnly="1" grandRow="1" outline="0" fieldPosition="0"/>
    </format>
    <format dxfId="972">
      <pivotArea dataOnly="0" labelOnly="1" outline="0" axis="axisValues" fieldPosition="0"/>
    </format>
    <format dxfId="971">
      <pivotArea type="all" dataOnly="0" outline="0" fieldPosition="0"/>
    </format>
    <format dxfId="970">
      <pivotArea outline="0" collapsedLevelsAreSubtotals="1" fieldPosition="0"/>
    </format>
    <format dxfId="969">
      <pivotArea field="5" type="button" dataOnly="0" labelOnly="1" outline="0" axis="axisRow" fieldPosition="0"/>
    </format>
    <format dxfId="968">
      <pivotArea dataOnly="0" labelOnly="1" outline="0" axis="axisValues" fieldPosition="0"/>
    </format>
    <format dxfId="967">
      <pivotArea dataOnly="0" labelOnly="1" fieldPosition="0">
        <references count="1">
          <reference field="5" count="0"/>
        </references>
      </pivotArea>
    </format>
    <format dxfId="966">
      <pivotArea dataOnly="0" labelOnly="1" grandRow="1" outline="0" fieldPosition="0"/>
    </format>
    <format dxfId="965">
      <pivotArea dataOnly="0" labelOnly="1" outline="0" axis="axisValues" fieldPosition="0"/>
    </format>
    <format dxfId="964">
      <pivotArea type="all" dataOnly="0" outline="0" fieldPosition="0"/>
    </format>
    <format dxfId="963">
      <pivotArea outline="0" collapsedLevelsAreSubtotals="1" fieldPosition="0"/>
    </format>
    <format dxfId="962">
      <pivotArea field="5" type="button" dataOnly="0" labelOnly="1" outline="0" axis="axisRow" fieldPosition="0"/>
    </format>
    <format dxfId="961">
      <pivotArea dataOnly="0" labelOnly="1" outline="0" axis="axisValues" fieldPosition="0"/>
    </format>
    <format dxfId="960">
      <pivotArea dataOnly="0" labelOnly="1" fieldPosition="0">
        <references count="1">
          <reference field="5" count="0"/>
        </references>
      </pivotArea>
    </format>
    <format dxfId="959">
      <pivotArea dataOnly="0" labelOnly="1" grandRow="1" outline="0" fieldPosition="0"/>
    </format>
    <format dxfId="958">
      <pivotArea dataOnly="0" labelOnly="1" outline="0" axis="axisValues" fieldPosition="0"/>
    </format>
    <format dxfId="957">
      <pivotArea field="5" type="button" dataOnly="0" labelOnly="1" outline="0" axis="axisRow" fieldPosition="0"/>
    </format>
    <format dxfId="956">
      <pivotArea dataOnly="0" labelOnly="1" outline="0" axis="axisValues" fieldPosition="0"/>
    </format>
    <format dxfId="955">
      <pivotArea dataOnly="0" labelOnly="1" outline="0" axis="axisValues" fieldPosition="0"/>
    </format>
    <format dxfId="954">
      <pivotArea field="5" type="button" dataOnly="0" labelOnly="1" outline="0" axis="axisRow" fieldPosition="0"/>
    </format>
    <format dxfId="953">
      <pivotArea dataOnly="0" labelOnly="1" outline="0" axis="axisValues" fieldPosition="0"/>
    </format>
    <format dxfId="952">
      <pivotArea dataOnly="0" labelOnly="1" outline="0" axis="axisValues" fieldPosition="0"/>
    </format>
    <format dxfId="951">
      <pivotArea field="5" type="button" dataOnly="0" labelOnly="1" outline="0" axis="axisRow" fieldPosition="0"/>
    </format>
    <format dxfId="950">
      <pivotArea dataOnly="0" labelOnly="1" outline="0" axis="axisValues" fieldPosition="0"/>
    </format>
    <format dxfId="949">
      <pivotArea dataOnly="0" labelOnly="1" outline="0" axis="axisValues" fieldPosition="0"/>
    </format>
    <format dxfId="948">
      <pivotArea field="5" type="button" dataOnly="0" labelOnly="1" outline="0" axis="axisRow" fieldPosition="0"/>
    </format>
    <format dxfId="947">
      <pivotArea dataOnly="0" labelOnly="1" outline="0" axis="axisValues" fieldPosition="0"/>
    </format>
    <format dxfId="946">
      <pivotArea dataOnly="0" labelOnly="1" outline="0" axis="axisValues" fieldPosition="0"/>
    </format>
    <format dxfId="945">
      <pivotArea collapsedLevelsAreSubtotals="1" fieldPosition="0">
        <references count="1">
          <reference field="5" count="0"/>
        </references>
      </pivotArea>
    </format>
    <format dxfId="944">
      <pivotArea dataOnly="0" labelOnly="1" fieldPosition="0">
        <references count="1">
          <reference field="5" count="0"/>
        </references>
      </pivotArea>
    </format>
    <format dxfId="943">
      <pivotArea collapsedLevelsAreSubtotals="1" fieldPosition="0">
        <references count="1">
          <reference field="5" count="0"/>
        </references>
      </pivotArea>
    </format>
    <format dxfId="942">
      <pivotArea dataOnly="0" labelOnly="1" fieldPosition="0">
        <references count="1">
          <reference field="5" count="0"/>
        </references>
      </pivotArea>
    </format>
    <format dxfId="941">
      <pivotArea grandRow="1" outline="0" collapsedLevelsAreSubtotals="1" fieldPosition="0"/>
    </format>
    <format dxfId="940">
      <pivotArea dataOnly="0" labelOnly="1" grandRow="1" outline="0" fieldPosition="0"/>
    </format>
    <format dxfId="939">
      <pivotArea grandRow="1" outline="0" collapsedLevelsAreSubtotals="1" fieldPosition="0"/>
    </format>
    <format dxfId="938">
      <pivotArea dataOnly="0" labelOnly="1" grandRow="1" outline="0" fieldPosition="0"/>
    </format>
    <format dxfId="937">
      <pivotArea type="all" dataOnly="0" outline="0" fieldPosition="0"/>
    </format>
    <format dxfId="936">
      <pivotArea outline="0" collapsedLevelsAreSubtotals="1" fieldPosition="0"/>
    </format>
    <format dxfId="935">
      <pivotArea field="5" type="button" dataOnly="0" labelOnly="1" outline="0" axis="axisRow" fieldPosition="0"/>
    </format>
    <format dxfId="934">
      <pivotArea dataOnly="0" labelOnly="1" outline="0" axis="axisValues" fieldPosition="0"/>
    </format>
    <format dxfId="933">
      <pivotArea dataOnly="0" labelOnly="1" fieldPosition="0">
        <references count="1">
          <reference field="5" count="0"/>
        </references>
      </pivotArea>
    </format>
    <format dxfId="932">
      <pivotArea dataOnly="0" labelOnly="1" grandRow="1" outline="0" fieldPosition="0"/>
    </format>
    <format dxfId="931">
      <pivotArea dataOnly="0" labelOnly="1" outline="0" axis="axisValues" fieldPosition="0"/>
    </format>
    <format dxfId="930">
      <pivotArea type="all" dataOnly="0" outline="0" fieldPosition="0"/>
    </format>
    <format dxfId="929">
      <pivotArea outline="0" collapsedLevelsAreSubtotals="1" fieldPosition="0"/>
    </format>
    <format dxfId="928">
      <pivotArea field="5" type="button" dataOnly="0" labelOnly="1" outline="0" axis="axisRow" fieldPosition="0"/>
    </format>
    <format dxfId="927">
      <pivotArea dataOnly="0" labelOnly="1" outline="0" axis="axisValues" fieldPosition="0"/>
    </format>
    <format dxfId="926">
      <pivotArea dataOnly="0" labelOnly="1" fieldPosition="0">
        <references count="1">
          <reference field="5" count="0"/>
        </references>
      </pivotArea>
    </format>
    <format dxfId="925">
      <pivotArea dataOnly="0" labelOnly="1" grandRow="1" outline="0" fieldPosition="0"/>
    </format>
    <format dxfId="924">
      <pivotArea dataOnly="0" labelOnly="1" outline="0" axis="axisValues" fieldPosition="0"/>
    </format>
    <format dxfId="923">
      <pivotArea type="all" dataOnly="0" outline="0" fieldPosition="0"/>
    </format>
    <format dxfId="922">
      <pivotArea outline="0" collapsedLevelsAreSubtotals="1" fieldPosition="0"/>
    </format>
    <format dxfId="921">
      <pivotArea field="5" type="button" dataOnly="0" labelOnly="1" outline="0" axis="axisRow" fieldPosition="0"/>
    </format>
    <format dxfId="920">
      <pivotArea dataOnly="0" labelOnly="1" outline="0" axis="axisValues" fieldPosition="0"/>
    </format>
    <format dxfId="919">
      <pivotArea dataOnly="0" labelOnly="1" fieldPosition="0">
        <references count="1">
          <reference field="5" count="0"/>
        </references>
      </pivotArea>
    </format>
    <format dxfId="918">
      <pivotArea dataOnly="0" labelOnly="1" grandRow="1" outline="0" fieldPosition="0"/>
    </format>
    <format dxfId="917">
      <pivotArea dataOnly="0" labelOnly="1" outline="0" axis="axisValues" fieldPosition="0"/>
    </format>
    <format dxfId="916">
      <pivotArea type="all" dataOnly="0" outline="0" fieldPosition="0"/>
    </format>
    <format dxfId="915">
      <pivotArea outline="0" collapsedLevelsAreSubtotals="1" fieldPosition="0"/>
    </format>
    <format dxfId="914">
      <pivotArea field="5" type="button" dataOnly="0" labelOnly="1" outline="0" axis="axisRow" fieldPosition="0"/>
    </format>
    <format dxfId="913">
      <pivotArea dataOnly="0" labelOnly="1" outline="0" axis="axisValues" fieldPosition="0"/>
    </format>
    <format dxfId="912">
      <pivotArea dataOnly="0" labelOnly="1" fieldPosition="0">
        <references count="1">
          <reference field="5" count="0"/>
        </references>
      </pivotArea>
    </format>
    <format dxfId="911">
      <pivotArea dataOnly="0" labelOnly="1" grandRow="1" outline="0" fieldPosition="0"/>
    </format>
    <format dxfId="910">
      <pivotArea dataOnly="0" labelOnly="1" outline="0" axis="axisValues" fieldPosition="0"/>
    </format>
    <format dxfId="909">
      <pivotArea type="all" dataOnly="0" outline="0" fieldPosition="0"/>
    </format>
    <format dxfId="908">
      <pivotArea outline="0" collapsedLevelsAreSubtotals="1" fieldPosition="0"/>
    </format>
    <format dxfId="907">
      <pivotArea field="5" type="button" dataOnly="0" labelOnly="1" outline="0" axis="axisRow" fieldPosition="0"/>
    </format>
    <format dxfId="906">
      <pivotArea dataOnly="0" labelOnly="1" outline="0" axis="axisValues" fieldPosition="0"/>
    </format>
    <format dxfId="905">
      <pivotArea dataOnly="0" labelOnly="1" fieldPosition="0">
        <references count="1">
          <reference field="5" count="0"/>
        </references>
      </pivotArea>
    </format>
    <format dxfId="904">
      <pivotArea dataOnly="0" labelOnly="1" grandRow="1" outline="0" fieldPosition="0"/>
    </format>
    <format dxfId="903">
      <pivotArea dataOnly="0" labelOnly="1" outline="0" axis="axisValues" fieldPosition="0"/>
    </format>
    <format dxfId="902">
      <pivotArea type="all" dataOnly="0" outline="0" fieldPosition="0"/>
    </format>
    <format dxfId="901">
      <pivotArea outline="0" collapsedLevelsAreSubtotals="1" fieldPosition="0"/>
    </format>
    <format dxfId="900">
      <pivotArea field="5" type="button" dataOnly="0" labelOnly="1" outline="0" axis="axisRow" fieldPosition="0"/>
    </format>
    <format dxfId="899">
      <pivotArea dataOnly="0" labelOnly="1" outline="0" axis="axisValues" fieldPosition="0"/>
    </format>
    <format dxfId="898">
      <pivotArea dataOnly="0" labelOnly="1" fieldPosition="0">
        <references count="1">
          <reference field="5" count="0"/>
        </references>
      </pivotArea>
    </format>
    <format dxfId="897">
      <pivotArea dataOnly="0" labelOnly="1" grandRow="1" outline="0" fieldPosition="0"/>
    </format>
    <format dxfId="896">
      <pivotArea dataOnly="0" labelOnly="1" outline="0" axis="axisValues" fieldPosition="0"/>
    </format>
    <format dxfId="895">
      <pivotArea type="all" dataOnly="0" outline="0" fieldPosition="0"/>
    </format>
    <format dxfId="894">
      <pivotArea outline="0" collapsedLevelsAreSubtotals="1" fieldPosition="0"/>
    </format>
    <format dxfId="893">
      <pivotArea field="5" type="button" dataOnly="0" labelOnly="1" outline="0" axis="axisRow" fieldPosition="0"/>
    </format>
    <format dxfId="892">
      <pivotArea dataOnly="0" labelOnly="1" outline="0" axis="axisValues" fieldPosition="0"/>
    </format>
    <format dxfId="891">
      <pivotArea dataOnly="0" labelOnly="1" fieldPosition="0">
        <references count="1">
          <reference field="5" count="0"/>
        </references>
      </pivotArea>
    </format>
    <format dxfId="890">
      <pivotArea dataOnly="0" labelOnly="1" grandRow="1" outline="0" fieldPosition="0"/>
    </format>
    <format dxfId="889">
      <pivotArea dataOnly="0" labelOnly="1" outline="0" axis="axisValues" fieldPosition="0"/>
    </format>
    <format dxfId="888">
      <pivotArea type="all" dataOnly="0" outline="0" fieldPosition="0"/>
    </format>
    <format dxfId="887">
      <pivotArea outline="0" collapsedLevelsAreSubtotals="1" fieldPosition="0"/>
    </format>
    <format dxfId="886">
      <pivotArea field="5" type="button" dataOnly="0" labelOnly="1" outline="0" axis="axisRow" fieldPosition="0"/>
    </format>
    <format dxfId="885">
      <pivotArea dataOnly="0" labelOnly="1" outline="0" axis="axisValues" fieldPosition="0"/>
    </format>
    <format dxfId="884">
      <pivotArea dataOnly="0" labelOnly="1" fieldPosition="0">
        <references count="1">
          <reference field="5" count="0"/>
        </references>
      </pivotArea>
    </format>
    <format dxfId="883">
      <pivotArea dataOnly="0" labelOnly="1" grandRow="1" outline="0" fieldPosition="0"/>
    </format>
    <format dxfId="882">
      <pivotArea dataOnly="0" labelOnly="1" outline="0" axis="axisValues" fieldPosition="0"/>
    </format>
    <format dxfId="881">
      <pivotArea type="all" dataOnly="0" outline="0" fieldPosition="0"/>
    </format>
    <format dxfId="880">
      <pivotArea outline="0" collapsedLevelsAreSubtotals="1" fieldPosition="0"/>
    </format>
    <format dxfId="879">
      <pivotArea field="5" type="button" dataOnly="0" labelOnly="1" outline="0" axis="axisRow" fieldPosition="0"/>
    </format>
    <format dxfId="878">
      <pivotArea dataOnly="0" labelOnly="1" outline="0" axis="axisValues" fieldPosition="0"/>
    </format>
    <format dxfId="877">
      <pivotArea dataOnly="0" labelOnly="1" fieldPosition="0">
        <references count="1">
          <reference field="5" count="0"/>
        </references>
      </pivotArea>
    </format>
    <format dxfId="876">
      <pivotArea dataOnly="0" labelOnly="1" grandRow="1" outline="0" fieldPosition="0"/>
    </format>
    <format dxfId="875">
      <pivotArea dataOnly="0" labelOnly="1" outline="0" axis="axisValues" fieldPosition="0"/>
    </format>
    <format dxfId="874">
      <pivotArea type="all" dataOnly="0" outline="0" fieldPosition="0"/>
    </format>
    <format dxfId="873">
      <pivotArea outline="0" collapsedLevelsAreSubtotals="1" fieldPosition="0"/>
    </format>
    <format dxfId="872">
      <pivotArea field="5" type="button" dataOnly="0" labelOnly="1" outline="0" axis="axisRow" fieldPosition="0"/>
    </format>
    <format dxfId="871">
      <pivotArea dataOnly="0" labelOnly="1" outline="0" axis="axisValues" fieldPosition="0"/>
    </format>
    <format dxfId="870">
      <pivotArea dataOnly="0" labelOnly="1" fieldPosition="0">
        <references count="1">
          <reference field="5" count="0"/>
        </references>
      </pivotArea>
    </format>
    <format dxfId="869">
      <pivotArea dataOnly="0" labelOnly="1" grandRow="1" outline="0" fieldPosition="0"/>
    </format>
    <format dxfId="868">
      <pivotArea dataOnly="0" labelOnly="1" outline="0" axis="axisValues" fieldPosition="0"/>
    </format>
    <format dxfId="867">
      <pivotArea type="all" dataOnly="0" outline="0" fieldPosition="0"/>
    </format>
    <format dxfId="866">
      <pivotArea outline="0" collapsedLevelsAreSubtotals="1" fieldPosition="0"/>
    </format>
    <format dxfId="865">
      <pivotArea field="5" type="button" dataOnly="0" labelOnly="1" outline="0" axis="axisRow" fieldPosition="0"/>
    </format>
    <format dxfId="864">
      <pivotArea dataOnly="0" labelOnly="1" outline="0" axis="axisValues" fieldPosition="0"/>
    </format>
    <format dxfId="863">
      <pivotArea dataOnly="0" labelOnly="1" fieldPosition="0">
        <references count="1">
          <reference field="5" count="0"/>
        </references>
      </pivotArea>
    </format>
    <format dxfId="862">
      <pivotArea dataOnly="0" labelOnly="1" grandRow="1" outline="0" fieldPosition="0"/>
    </format>
    <format dxfId="861">
      <pivotArea dataOnly="0" labelOnly="1" outline="0" axis="axisValues" fieldPosition="0"/>
    </format>
    <format dxfId="860">
      <pivotArea type="all" dataOnly="0" outline="0" fieldPosition="0"/>
    </format>
    <format dxfId="859">
      <pivotArea outline="0" collapsedLevelsAreSubtotals="1" fieldPosition="0"/>
    </format>
    <format dxfId="858">
      <pivotArea field="5" type="button" dataOnly="0" labelOnly="1" outline="0" axis="axisRow" fieldPosition="0"/>
    </format>
    <format dxfId="857">
      <pivotArea dataOnly="0" labelOnly="1" outline="0" axis="axisValues" fieldPosition="0"/>
    </format>
    <format dxfId="856">
      <pivotArea dataOnly="0" labelOnly="1" fieldPosition="0">
        <references count="1">
          <reference field="5" count="0"/>
        </references>
      </pivotArea>
    </format>
    <format dxfId="855">
      <pivotArea dataOnly="0" labelOnly="1" grandRow="1" outline="0" fieldPosition="0"/>
    </format>
    <format dxfId="854">
      <pivotArea dataOnly="0" labelOnly="1" outline="0" axis="axisValues" fieldPosition="0"/>
    </format>
    <format dxfId="853">
      <pivotArea type="all" dataOnly="0" outline="0" fieldPosition="0"/>
    </format>
    <format dxfId="852">
      <pivotArea outline="0" collapsedLevelsAreSubtotals="1" fieldPosition="0"/>
    </format>
    <format dxfId="851">
      <pivotArea field="5" type="button" dataOnly="0" labelOnly="1" outline="0" axis="axisRow" fieldPosition="0"/>
    </format>
    <format dxfId="850">
      <pivotArea dataOnly="0" labelOnly="1" outline="0" axis="axisValues" fieldPosition="0"/>
    </format>
    <format dxfId="849">
      <pivotArea dataOnly="0" labelOnly="1" fieldPosition="0">
        <references count="1">
          <reference field="5" count="0"/>
        </references>
      </pivotArea>
    </format>
    <format dxfId="848">
      <pivotArea dataOnly="0" labelOnly="1" grandRow="1" outline="0" fieldPosition="0"/>
    </format>
    <format dxfId="847">
      <pivotArea dataOnly="0" labelOnly="1" outline="0" axis="axisValues" fieldPosition="0"/>
    </format>
    <format dxfId="846">
      <pivotArea type="all" dataOnly="0" outline="0" fieldPosition="0"/>
    </format>
    <format dxfId="845">
      <pivotArea outline="0" collapsedLevelsAreSubtotals="1" fieldPosition="0"/>
    </format>
    <format dxfId="844">
      <pivotArea field="5" type="button" dataOnly="0" labelOnly="1" outline="0" axis="axisRow" fieldPosition="0"/>
    </format>
    <format dxfId="843">
      <pivotArea dataOnly="0" labelOnly="1" outline="0" axis="axisValues" fieldPosition="0"/>
    </format>
    <format dxfId="842">
      <pivotArea dataOnly="0" labelOnly="1" fieldPosition="0">
        <references count="1">
          <reference field="5" count="0"/>
        </references>
      </pivotArea>
    </format>
    <format dxfId="841">
      <pivotArea dataOnly="0" labelOnly="1" grandRow="1" outline="0" fieldPosition="0"/>
    </format>
    <format dxfId="840">
      <pivotArea dataOnly="0" labelOnly="1" outline="0" axis="axisValues" fieldPosition="0"/>
    </format>
    <format dxfId="839">
      <pivotArea type="all" dataOnly="0" outline="0" fieldPosition="0"/>
    </format>
    <format dxfId="838">
      <pivotArea outline="0" collapsedLevelsAreSubtotals="1" fieldPosition="0"/>
    </format>
    <format dxfId="837">
      <pivotArea field="5" type="button" dataOnly="0" labelOnly="1" outline="0" axis="axisRow" fieldPosition="0"/>
    </format>
    <format dxfId="836">
      <pivotArea dataOnly="0" labelOnly="1" outline="0" axis="axisValues" fieldPosition="0"/>
    </format>
    <format dxfId="835">
      <pivotArea dataOnly="0" labelOnly="1" fieldPosition="0">
        <references count="1">
          <reference field="5" count="0"/>
        </references>
      </pivotArea>
    </format>
    <format dxfId="834">
      <pivotArea dataOnly="0" labelOnly="1" grandRow="1" outline="0" fieldPosition="0"/>
    </format>
    <format dxfId="833">
      <pivotArea dataOnly="0" labelOnly="1" outline="0" axis="axisValues" fieldPosition="0"/>
    </format>
    <format dxfId="832">
      <pivotArea type="all" dataOnly="0" outline="0" fieldPosition="0"/>
    </format>
    <format dxfId="831">
      <pivotArea outline="0" collapsedLevelsAreSubtotals="1" fieldPosition="0"/>
    </format>
    <format dxfId="830">
      <pivotArea field="5" type="button" dataOnly="0" labelOnly="1" outline="0" axis="axisRow" fieldPosition="0"/>
    </format>
    <format dxfId="829">
      <pivotArea dataOnly="0" labelOnly="1" outline="0" axis="axisValues" fieldPosition="0"/>
    </format>
    <format dxfId="828">
      <pivotArea dataOnly="0" labelOnly="1" fieldPosition="0">
        <references count="1">
          <reference field="5" count="0"/>
        </references>
      </pivotArea>
    </format>
    <format dxfId="827">
      <pivotArea dataOnly="0" labelOnly="1" grandRow="1" outline="0" fieldPosition="0"/>
    </format>
    <format dxfId="826">
      <pivotArea dataOnly="0" labelOnly="1" outline="0" axis="axisValues" fieldPosition="0"/>
    </format>
    <format dxfId="825">
      <pivotArea type="all" dataOnly="0" outline="0" fieldPosition="0"/>
    </format>
    <format dxfId="824">
      <pivotArea outline="0" collapsedLevelsAreSubtotals="1" fieldPosition="0"/>
    </format>
    <format dxfId="823">
      <pivotArea field="5" type="button" dataOnly="0" labelOnly="1" outline="0" axis="axisRow" fieldPosition="0"/>
    </format>
    <format dxfId="822">
      <pivotArea dataOnly="0" labelOnly="1" outline="0" axis="axisValues" fieldPosition="0"/>
    </format>
    <format dxfId="821">
      <pivotArea dataOnly="0" labelOnly="1" fieldPosition="0">
        <references count="1">
          <reference field="5" count="0"/>
        </references>
      </pivotArea>
    </format>
    <format dxfId="820">
      <pivotArea dataOnly="0" labelOnly="1" grandRow="1" outline="0" fieldPosition="0"/>
    </format>
    <format dxfId="819">
      <pivotArea dataOnly="0" labelOnly="1" outline="0" axis="axisValues" fieldPosition="0"/>
    </format>
    <format dxfId="818">
      <pivotArea type="all" dataOnly="0" outline="0" fieldPosition="0"/>
    </format>
    <format dxfId="817">
      <pivotArea outline="0" collapsedLevelsAreSubtotals="1" fieldPosition="0"/>
    </format>
    <format dxfId="816">
      <pivotArea field="5" type="button" dataOnly="0" labelOnly="1" outline="0" axis="axisRow" fieldPosition="0"/>
    </format>
    <format dxfId="815">
      <pivotArea dataOnly="0" labelOnly="1" outline="0" axis="axisValues" fieldPosition="0"/>
    </format>
    <format dxfId="814">
      <pivotArea dataOnly="0" labelOnly="1" fieldPosition="0">
        <references count="1">
          <reference field="5" count="0"/>
        </references>
      </pivotArea>
    </format>
    <format dxfId="813">
      <pivotArea dataOnly="0" labelOnly="1" grandRow="1" outline="0" fieldPosition="0"/>
    </format>
    <format dxfId="812">
      <pivotArea dataOnly="0" labelOnly="1" outline="0" axis="axisValues" fieldPosition="0"/>
    </format>
    <format dxfId="811">
      <pivotArea field="5" type="button" dataOnly="0" labelOnly="1" outline="0" axis="axisRow" fieldPosition="0"/>
    </format>
    <format dxfId="810">
      <pivotArea dataOnly="0" labelOnly="1" outline="0" axis="axisValues" fieldPosition="0"/>
    </format>
    <format dxfId="809">
      <pivotArea dataOnly="0" labelOnly="1" outline="0" axis="axisValues" fieldPosition="0"/>
    </format>
    <format dxfId="808">
      <pivotArea field="5" type="button" dataOnly="0" labelOnly="1" outline="0" axis="axisRow" fieldPosition="0"/>
    </format>
    <format dxfId="807">
      <pivotArea dataOnly="0" labelOnly="1" outline="0" axis="axisValues" fieldPosition="0"/>
    </format>
    <format dxfId="806">
      <pivotArea dataOnly="0" labelOnly="1" outline="0" axis="axisValues" fieldPosition="0"/>
    </format>
    <format dxfId="805">
      <pivotArea field="5" type="button" dataOnly="0" labelOnly="1" outline="0" axis="axisRow" fieldPosition="0"/>
    </format>
    <format dxfId="804">
      <pivotArea dataOnly="0" labelOnly="1" outline="0" axis="axisValues" fieldPosition="0"/>
    </format>
    <format dxfId="803">
      <pivotArea dataOnly="0" labelOnly="1" outline="0" axis="axisValues" fieldPosition="0"/>
    </format>
    <format dxfId="802">
      <pivotArea field="5" type="button" dataOnly="0" labelOnly="1" outline="0" axis="axisRow" fieldPosition="0"/>
    </format>
    <format dxfId="801">
      <pivotArea dataOnly="0" labelOnly="1" outline="0" axis="axisValues" fieldPosition="0"/>
    </format>
    <format dxfId="800">
      <pivotArea dataOnly="0" labelOnly="1" outline="0" axis="axisValues" fieldPosition="0"/>
    </format>
    <format dxfId="799">
      <pivotArea field="5" type="button" dataOnly="0" labelOnly="1" outline="0" axis="axisRow" fieldPosition="0"/>
    </format>
    <format dxfId="798">
      <pivotArea dataOnly="0" labelOnly="1" outline="0" axis="axisValues" fieldPosition="0"/>
    </format>
    <format dxfId="797">
      <pivotArea dataOnly="0" labelOnly="1" outline="0" axis="axisValues" fieldPosition="0"/>
    </format>
    <format dxfId="796">
      <pivotArea field="5" type="button" dataOnly="0" labelOnly="1" outline="0" axis="axisRow" fieldPosition="0"/>
    </format>
    <format dxfId="795">
      <pivotArea dataOnly="0" labelOnly="1" outline="0" axis="axisValues" fieldPosition="0"/>
    </format>
    <format dxfId="794">
      <pivotArea dataOnly="0" labelOnly="1" outline="0" axis="axisValues" fieldPosition="0"/>
    </format>
    <format dxfId="793">
      <pivotArea field="5" type="button" dataOnly="0" labelOnly="1" outline="0" axis="axisRow" fieldPosition="0"/>
    </format>
    <format dxfId="792">
      <pivotArea dataOnly="0" labelOnly="1" outline="0" axis="axisValues" fieldPosition="0"/>
    </format>
    <format dxfId="791">
      <pivotArea dataOnly="0" labelOnly="1" outline="0" axis="axisValues" fieldPosition="0"/>
    </format>
    <format dxfId="790">
      <pivotArea field="5" type="button" dataOnly="0" labelOnly="1" outline="0" axis="axisRow" fieldPosition="0"/>
    </format>
    <format dxfId="789">
      <pivotArea dataOnly="0" labelOnly="1" outline="0" axis="axisValues" fieldPosition="0"/>
    </format>
    <format dxfId="788">
      <pivotArea dataOnly="0" labelOnly="1" outline="0" axis="axisValues" fieldPosition="0"/>
    </format>
    <format dxfId="787">
      <pivotArea field="5" type="button" dataOnly="0" labelOnly="1" outline="0" axis="axisRow" fieldPosition="0"/>
    </format>
    <format dxfId="786">
      <pivotArea dataOnly="0" labelOnly="1" outline="0" axis="axisValues" fieldPosition="0"/>
    </format>
    <format dxfId="785">
      <pivotArea dataOnly="0" labelOnly="1" outline="0" axis="axisValues" fieldPosition="0"/>
    </format>
    <format dxfId="784">
      <pivotArea field="5" type="button" dataOnly="0" labelOnly="1" outline="0" axis="axisRow" fieldPosition="0"/>
    </format>
    <format dxfId="783">
      <pivotArea dataOnly="0" labelOnly="1" outline="0" axis="axisValues" fieldPosition="0"/>
    </format>
    <format dxfId="782">
      <pivotArea dataOnly="0" labelOnly="1" outline="0" axis="axisValues" fieldPosition="0"/>
    </format>
    <format dxfId="781">
      <pivotArea field="5" type="button" dataOnly="0" labelOnly="1" outline="0" axis="axisRow" fieldPosition="0"/>
    </format>
    <format dxfId="780">
      <pivotArea dataOnly="0" labelOnly="1" outline="0" axis="axisValues" fieldPosition="0"/>
    </format>
    <format dxfId="779">
      <pivotArea dataOnly="0" labelOnly="1" outline="0" axis="axisValues" fieldPosition="0"/>
    </format>
    <format dxfId="778">
      <pivotArea field="5" type="button" dataOnly="0" labelOnly="1" outline="0" axis="axisRow" fieldPosition="0"/>
    </format>
    <format dxfId="777">
      <pivotArea dataOnly="0" labelOnly="1" outline="0" axis="axisValues" fieldPosition="0"/>
    </format>
    <format dxfId="776">
      <pivotArea dataOnly="0" labelOnly="1" outline="0" axis="axisValues" fieldPosition="0"/>
    </format>
    <format dxfId="775">
      <pivotArea field="5" type="button" dataOnly="0" labelOnly="1" outline="0" axis="axisRow" fieldPosition="0"/>
    </format>
    <format dxfId="774">
      <pivotArea dataOnly="0" labelOnly="1" outline="0" axis="axisValues" fieldPosition="0"/>
    </format>
    <format dxfId="773">
      <pivotArea dataOnly="0" labelOnly="1" outline="0" axis="axisValues" fieldPosition="0"/>
    </format>
    <format dxfId="772">
      <pivotArea field="5" type="button" dataOnly="0" labelOnly="1" outline="0" axis="axisRow" fieldPosition="0"/>
    </format>
    <format dxfId="771">
      <pivotArea dataOnly="0" labelOnly="1" outline="0" axis="axisValues" fieldPosition="0"/>
    </format>
    <format dxfId="770">
      <pivotArea dataOnly="0" labelOnly="1" outline="0" axis="axisValues" fieldPosition="0"/>
    </format>
    <format dxfId="769">
      <pivotArea field="5" type="button" dataOnly="0" labelOnly="1" outline="0" axis="axisRow" fieldPosition="0"/>
    </format>
    <format dxfId="768">
      <pivotArea dataOnly="0" labelOnly="1" outline="0" axis="axisValues" fieldPosition="0"/>
    </format>
    <format dxfId="767">
      <pivotArea dataOnly="0" labelOnly="1" outline="0" axis="axisValues" fieldPosition="0"/>
    </format>
    <format dxfId="766">
      <pivotArea field="5" type="button" dataOnly="0" labelOnly="1" outline="0" axis="axisRow" fieldPosition="0"/>
    </format>
    <format dxfId="765">
      <pivotArea dataOnly="0" labelOnly="1" outline="0" axis="axisValues" fieldPosition="0"/>
    </format>
    <format dxfId="764">
      <pivotArea dataOnly="0" labelOnly="1" outline="0" axis="axisValues" fieldPosition="0"/>
    </format>
    <format dxfId="763">
      <pivotArea field="5" type="button" dataOnly="0" labelOnly="1" outline="0" axis="axisRow" fieldPosition="0"/>
    </format>
    <format dxfId="762">
      <pivotArea dataOnly="0" labelOnly="1" outline="0" axis="axisValues" fieldPosition="0"/>
    </format>
    <format dxfId="761">
      <pivotArea dataOnly="0" labelOnly="1" outline="0" axis="axisValues" fieldPosition="0"/>
    </format>
    <format dxfId="760">
      <pivotArea field="5" type="button" dataOnly="0" labelOnly="1" outline="0" axis="axisRow" fieldPosition="0"/>
    </format>
    <format dxfId="759">
      <pivotArea dataOnly="0" labelOnly="1" outline="0" axis="axisValues" fieldPosition="0"/>
    </format>
    <format dxfId="758">
      <pivotArea dataOnly="0" labelOnly="1" outline="0" axis="axisValues" fieldPosition="0"/>
    </format>
    <format dxfId="757">
      <pivotArea field="5" type="button" dataOnly="0" labelOnly="1" outline="0" axis="axisRow" fieldPosition="0"/>
    </format>
    <format dxfId="756">
      <pivotArea dataOnly="0" labelOnly="1" outline="0" axis="axisValues" fieldPosition="0"/>
    </format>
    <format dxfId="755">
      <pivotArea dataOnly="0" labelOnly="1" outline="0" axis="axisValues" fieldPosition="0"/>
    </format>
    <format dxfId="754">
      <pivotArea field="5" type="button" dataOnly="0" labelOnly="1" outline="0" axis="axisRow" fieldPosition="0"/>
    </format>
    <format dxfId="753">
      <pivotArea dataOnly="0" labelOnly="1" outline="0" axis="axisValues" fieldPosition="0"/>
    </format>
    <format dxfId="752">
      <pivotArea dataOnly="0" labelOnly="1" outline="0" axis="axisValues" fieldPosition="0"/>
    </format>
    <format dxfId="751">
      <pivotArea field="5" type="button" dataOnly="0" labelOnly="1" outline="0" axis="axisRow" fieldPosition="0"/>
    </format>
    <format dxfId="750">
      <pivotArea dataOnly="0" labelOnly="1" outline="0" axis="axisValues" fieldPosition="0"/>
    </format>
    <format dxfId="749">
      <pivotArea dataOnly="0" labelOnly="1" outline="0" axis="axisValues" fieldPosition="0"/>
    </format>
    <format dxfId="748">
      <pivotArea field="5" type="button" dataOnly="0" labelOnly="1" outline="0" axis="axisRow" fieldPosition="0"/>
    </format>
    <format dxfId="747">
      <pivotArea dataOnly="0" labelOnly="1" outline="0" axis="axisValues" fieldPosition="0"/>
    </format>
    <format dxfId="746">
      <pivotArea dataOnly="0" labelOnly="1" outline="0" axis="axisValues" fieldPosition="0"/>
    </format>
    <format dxfId="745">
      <pivotArea collapsedLevelsAreSubtotals="1" fieldPosition="0">
        <references count="1">
          <reference field="5" count="0"/>
        </references>
      </pivotArea>
    </format>
    <format dxfId="744">
      <pivotArea dataOnly="0" labelOnly="1" fieldPosition="0">
        <references count="1">
          <reference field="5" count="0"/>
        </references>
      </pivotArea>
    </format>
    <format dxfId="743">
      <pivotArea collapsedLevelsAreSubtotals="1" fieldPosition="0">
        <references count="1">
          <reference field="5" count="0"/>
        </references>
      </pivotArea>
    </format>
    <format dxfId="742">
      <pivotArea dataOnly="0" labelOnly="1" fieldPosition="0">
        <references count="1">
          <reference field="5" count="0"/>
        </references>
      </pivotArea>
    </format>
    <format dxfId="741">
      <pivotArea collapsedLevelsAreSubtotals="1" fieldPosition="0">
        <references count="1">
          <reference field="5" count="0"/>
        </references>
      </pivotArea>
    </format>
    <format dxfId="740">
      <pivotArea dataOnly="0" labelOnly="1" fieldPosition="0">
        <references count="1">
          <reference field="5" count="0"/>
        </references>
      </pivotArea>
    </format>
    <format dxfId="739">
      <pivotArea collapsedLevelsAreSubtotals="1" fieldPosition="0">
        <references count="1">
          <reference field="5" count="0"/>
        </references>
      </pivotArea>
    </format>
    <format dxfId="738">
      <pivotArea dataOnly="0" labelOnly="1" fieldPosition="0">
        <references count="1">
          <reference field="5" count="0"/>
        </references>
      </pivotArea>
    </format>
    <format dxfId="737">
      <pivotArea collapsedLevelsAreSubtotals="1" fieldPosition="0">
        <references count="1">
          <reference field="5" count="0"/>
        </references>
      </pivotArea>
    </format>
    <format dxfId="736">
      <pivotArea dataOnly="0" labelOnly="1" fieldPosition="0">
        <references count="1">
          <reference field="5" count="0"/>
        </references>
      </pivotArea>
    </format>
    <format dxfId="735">
      <pivotArea collapsedLevelsAreSubtotals="1" fieldPosition="0">
        <references count="1">
          <reference field="5" count="0"/>
        </references>
      </pivotArea>
    </format>
    <format dxfId="734">
      <pivotArea dataOnly="0" labelOnly="1" fieldPosition="0">
        <references count="1">
          <reference field="5" count="0"/>
        </references>
      </pivotArea>
    </format>
    <format dxfId="733">
      <pivotArea collapsedLevelsAreSubtotals="1" fieldPosition="0">
        <references count="1">
          <reference field="5" count="0"/>
        </references>
      </pivotArea>
    </format>
    <format dxfId="732">
      <pivotArea dataOnly="0" labelOnly="1" fieldPosition="0">
        <references count="1">
          <reference field="5" count="0"/>
        </references>
      </pivotArea>
    </format>
    <format dxfId="731">
      <pivotArea collapsedLevelsAreSubtotals="1" fieldPosition="0">
        <references count="1">
          <reference field="5" count="0"/>
        </references>
      </pivotArea>
    </format>
    <format dxfId="730">
      <pivotArea dataOnly="0" labelOnly="1" fieldPosition="0">
        <references count="1">
          <reference field="5" count="0"/>
        </references>
      </pivotArea>
    </format>
    <format dxfId="729">
      <pivotArea collapsedLevelsAreSubtotals="1" fieldPosition="0">
        <references count="1">
          <reference field="5" count="0"/>
        </references>
      </pivotArea>
    </format>
    <format dxfId="728">
      <pivotArea dataOnly="0" labelOnly="1" fieldPosition="0">
        <references count="1">
          <reference field="5" count="0"/>
        </references>
      </pivotArea>
    </format>
    <format dxfId="727">
      <pivotArea dataOnly="0" labelOnly="1" fieldPosition="0">
        <references count="1">
          <reference field="5" count="1">
            <x v="0"/>
          </reference>
        </references>
      </pivotArea>
    </format>
    <format dxfId="726">
      <pivotArea collapsedLevelsAreSubtotals="1" fieldPosition="0">
        <references count="1">
          <reference field="5" count="1">
            <x v="0"/>
          </reference>
        </references>
      </pivotArea>
    </format>
    <format dxfId="725">
      <pivotArea dataOnly="0" labelOnly="1" fieldPosition="0">
        <references count="1">
          <reference field="5" count="1">
            <x v="1"/>
          </reference>
        </references>
      </pivotArea>
    </format>
    <format dxfId="724">
      <pivotArea collapsedLevelsAreSubtotals="1" fieldPosition="0">
        <references count="1">
          <reference field="5" count="1">
            <x v="1"/>
          </reference>
        </references>
      </pivotArea>
    </format>
    <format dxfId="723">
      <pivotArea dataOnly="0" labelOnly="1" fieldPosition="0">
        <references count="1">
          <reference field="5" count="1">
            <x v="2"/>
          </reference>
        </references>
      </pivotArea>
    </format>
    <format dxfId="722">
      <pivotArea collapsedLevelsAreSubtotals="1" fieldPosition="0">
        <references count="1">
          <reference field="5" count="1">
            <x v="2"/>
          </reference>
        </references>
      </pivotArea>
    </format>
    <format dxfId="721">
      <pivotArea dataOnly="0" labelOnly="1" fieldPosition="0">
        <references count="1">
          <reference field="5" count="1">
            <x v="3"/>
          </reference>
        </references>
      </pivotArea>
    </format>
    <format dxfId="720">
      <pivotArea collapsedLevelsAreSubtotals="1" fieldPosition="0">
        <references count="1">
          <reference field="5" count="1">
            <x v="3"/>
          </reference>
        </references>
      </pivotArea>
    </format>
    <format dxfId="719">
      <pivotArea collapsedLevelsAreSubtotals="1" fieldPosition="0">
        <references count="1">
          <reference field="5" count="0"/>
        </references>
      </pivotArea>
    </format>
    <format dxfId="718">
      <pivotArea dataOnly="0" labelOnly="1" fieldPosition="0">
        <references count="1">
          <reference field="5" count="0"/>
        </references>
      </pivotArea>
    </format>
    <format dxfId="717">
      <pivotArea collapsedLevelsAreSubtotals="1" fieldPosition="0">
        <references count="1">
          <reference field="5" count="0"/>
        </references>
      </pivotArea>
    </format>
    <format dxfId="716">
      <pivotArea dataOnly="0" labelOnly="1" fieldPosition="0">
        <references count="1">
          <reference field="5" count="0"/>
        </references>
      </pivotArea>
    </format>
    <format dxfId="715">
      <pivotArea collapsedLevelsAreSubtotals="1" fieldPosition="0">
        <references count="1">
          <reference field="5" count="0"/>
        </references>
      </pivotArea>
    </format>
    <format dxfId="714">
      <pivotArea dataOnly="0" labelOnly="1" fieldPosition="0">
        <references count="1">
          <reference field="5" count="0"/>
        </references>
      </pivotArea>
    </format>
    <format dxfId="713">
      <pivotArea collapsedLevelsAreSubtotals="1" fieldPosition="0">
        <references count="1">
          <reference field="5" count="0"/>
        </references>
      </pivotArea>
    </format>
    <format dxfId="712">
      <pivotArea dataOnly="0" labelOnly="1" fieldPosition="0">
        <references count="1">
          <reference field="5" count="0"/>
        </references>
      </pivotArea>
    </format>
    <format dxfId="711">
      <pivotArea collapsedLevelsAreSubtotals="1" fieldPosition="0">
        <references count="1">
          <reference field="5" count="0"/>
        </references>
      </pivotArea>
    </format>
    <format dxfId="710">
      <pivotArea dataOnly="0" labelOnly="1" fieldPosition="0">
        <references count="1">
          <reference field="5" count="0"/>
        </references>
      </pivotArea>
    </format>
    <format dxfId="709">
      <pivotArea collapsedLevelsAreSubtotals="1" fieldPosition="0">
        <references count="1">
          <reference field="5" count="0"/>
        </references>
      </pivotArea>
    </format>
    <format dxfId="708">
      <pivotArea dataOnly="0" labelOnly="1" fieldPosition="0">
        <references count="1">
          <reference field="5" count="0"/>
        </references>
      </pivotArea>
    </format>
    <format dxfId="707">
      <pivotArea collapsedLevelsAreSubtotals="1" fieldPosition="0">
        <references count="1">
          <reference field="5" count="0"/>
        </references>
      </pivotArea>
    </format>
    <format dxfId="706">
      <pivotArea dataOnly="0" labelOnly="1" fieldPosition="0">
        <references count="1">
          <reference field="5" count="0"/>
        </references>
      </pivotArea>
    </format>
    <format dxfId="705">
      <pivotArea collapsedLevelsAreSubtotals="1" fieldPosition="0">
        <references count="1">
          <reference field="5" count="0"/>
        </references>
      </pivotArea>
    </format>
    <format dxfId="704">
      <pivotArea dataOnly="0" labelOnly="1" fieldPosition="0">
        <references count="1">
          <reference field="5" count="0"/>
        </references>
      </pivotArea>
    </format>
    <format dxfId="703">
      <pivotArea collapsedLevelsAreSubtotals="1" fieldPosition="0">
        <references count="1">
          <reference field="5" count="0"/>
        </references>
      </pivotArea>
    </format>
    <format dxfId="702">
      <pivotArea dataOnly="0" labelOnly="1" fieldPosition="0">
        <references count="1">
          <reference field="5" count="0"/>
        </references>
      </pivotArea>
    </format>
    <format dxfId="701">
      <pivotArea collapsedLevelsAreSubtotals="1" fieldPosition="0">
        <references count="1">
          <reference field="5" count="0"/>
        </references>
      </pivotArea>
    </format>
    <format dxfId="700">
      <pivotArea dataOnly="0" labelOnly="1" fieldPosition="0">
        <references count="1">
          <reference field="5" count="0"/>
        </references>
      </pivotArea>
    </format>
    <format dxfId="699">
      <pivotArea collapsedLevelsAreSubtotals="1" fieldPosition="0">
        <references count="1">
          <reference field="5" count="0"/>
        </references>
      </pivotArea>
    </format>
    <format dxfId="698">
      <pivotArea dataOnly="0" labelOnly="1" fieldPosition="0">
        <references count="1">
          <reference field="5" count="0"/>
        </references>
      </pivotArea>
    </format>
    <format dxfId="697">
      <pivotArea collapsedLevelsAreSubtotals="1" fieldPosition="0">
        <references count="1">
          <reference field="5" count="0"/>
        </references>
      </pivotArea>
    </format>
    <format dxfId="696">
      <pivotArea dataOnly="0" labelOnly="1" fieldPosition="0">
        <references count="1">
          <reference field="5" count="0"/>
        </references>
      </pivotArea>
    </format>
    <format dxfId="695">
      <pivotArea grandRow="1" outline="0" collapsedLevelsAreSubtotals="1" fieldPosition="0"/>
    </format>
    <format dxfId="694">
      <pivotArea dataOnly="0" labelOnly="1" grandRow="1" outline="0" fieldPosition="0"/>
    </format>
    <format dxfId="693">
      <pivotArea grandRow="1" outline="0" collapsedLevelsAreSubtotals="1" fieldPosition="0"/>
    </format>
    <format dxfId="692">
      <pivotArea dataOnly="0" labelOnly="1" grandRow="1" outline="0" fieldPosition="0"/>
    </format>
    <format dxfId="691">
      <pivotArea grandRow="1" outline="0" collapsedLevelsAreSubtotals="1" fieldPosition="0"/>
    </format>
    <format dxfId="690">
      <pivotArea dataOnly="0" labelOnly="1" grandRow="1" outline="0" fieldPosition="0"/>
    </format>
    <format dxfId="689">
      <pivotArea grandRow="1" outline="0" collapsedLevelsAreSubtotals="1" fieldPosition="0"/>
    </format>
    <format dxfId="688">
      <pivotArea dataOnly="0" labelOnly="1" grandRow="1" outline="0" fieldPosition="0"/>
    </format>
    <format dxfId="687">
      <pivotArea grandRow="1" outline="0" collapsedLevelsAreSubtotals="1" fieldPosition="0"/>
    </format>
    <format dxfId="686">
      <pivotArea dataOnly="0" labelOnly="1" grandRow="1" outline="0" fieldPosition="0"/>
    </format>
    <format dxfId="685">
      <pivotArea grandRow="1" outline="0" collapsedLevelsAreSubtotals="1" fieldPosition="0"/>
    </format>
    <format dxfId="684">
      <pivotArea dataOnly="0" labelOnly="1" grandRow="1" outline="0" fieldPosition="0"/>
    </format>
    <format dxfId="683">
      <pivotArea grandRow="1" outline="0" collapsedLevelsAreSubtotals="1" fieldPosition="0"/>
    </format>
    <format dxfId="682">
      <pivotArea dataOnly="0" labelOnly="1" grandRow="1" outline="0" fieldPosition="0"/>
    </format>
    <format dxfId="681">
      <pivotArea grandRow="1" outline="0" collapsedLevelsAreSubtotals="1" fieldPosition="0"/>
    </format>
    <format dxfId="680">
      <pivotArea dataOnly="0" labelOnly="1" grandRow="1" outline="0" fieldPosition="0"/>
    </format>
    <format dxfId="679">
      <pivotArea grandRow="1" outline="0" collapsedLevelsAreSubtotals="1" fieldPosition="0"/>
    </format>
    <format dxfId="678">
      <pivotArea dataOnly="0" labelOnly="1" grandRow="1" outline="0" fieldPosition="0"/>
    </format>
    <format dxfId="677">
      <pivotArea dataOnly="0" labelOnly="1" grandRow="1" outline="0" fieldPosition="0"/>
    </format>
    <format dxfId="676">
      <pivotArea grandRow="1" outline="0" collapsedLevelsAreSubtotals="1" fieldPosition="0"/>
    </format>
    <format dxfId="675">
      <pivotArea grandRow="1" outline="0" collapsedLevelsAreSubtotals="1" fieldPosition="0"/>
    </format>
    <format dxfId="674">
      <pivotArea dataOnly="0" labelOnly="1" grandRow="1" outline="0" fieldPosition="0"/>
    </format>
    <format dxfId="673">
      <pivotArea grandRow="1" outline="0" collapsedLevelsAreSubtotals="1" fieldPosition="0"/>
    </format>
    <format dxfId="672">
      <pivotArea dataOnly="0" labelOnly="1" grandRow="1" outline="0" fieldPosition="0"/>
    </format>
    <format dxfId="671">
      <pivotArea grandRow="1" outline="0" collapsedLevelsAreSubtotals="1" fieldPosition="0"/>
    </format>
    <format dxfId="670">
      <pivotArea dataOnly="0" labelOnly="1" grandRow="1" outline="0" fieldPosition="0"/>
    </format>
    <format dxfId="669">
      <pivotArea grandRow="1" outline="0" collapsedLevelsAreSubtotals="1" fieldPosition="0"/>
    </format>
    <format dxfId="668">
      <pivotArea dataOnly="0" labelOnly="1" grandRow="1" outline="0" fieldPosition="0"/>
    </format>
    <format dxfId="667">
      <pivotArea grandRow="1" outline="0" collapsedLevelsAreSubtotals="1" fieldPosition="0"/>
    </format>
    <format dxfId="666">
      <pivotArea dataOnly="0" labelOnly="1" grandRow="1" outline="0" fieldPosition="0"/>
    </format>
    <format dxfId="665">
      <pivotArea grandRow="1" outline="0" collapsedLevelsAreSubtotals="1" fieldPosition="0"/>
    </format>
    <format dxfId="664">
      <pivotArea dataOnly="0" labelOnly="1" grandRow="1" outline="0" fieldPosition="0"/>
    </format>
    <format dxfId="663">
      <pivotArea grandRow="1" outline="0" collapsedLevelsAreSubtotals="1" fieldPosition="0"/>
    </format>
    <format dxfId="662">
      <pivotArea dataOnly="0" labelOnly="1" grandRow="1" outline="0" fieldPosition="0"/>
    </format>
    <format dxfId="661">
      <pivotArea grandRow="1" outline="0" collapsedLevelsAreSubtotals="1" fieldPosition="0"/>
    </format>
    <format dxfId="660">
      <pivotArea dataOnly="0" labelOnly="1" grandRow="1" outline="0" fieldPosition="0"/>
    </format>
    <format dxfId="659">
      <pivotArea grandRow="1" outline="0" collapsedLevelsAreSubtotals="1" fieldPosition="0"/>
    </format>
    <format dxfId="658">
      <pivotArea dataOnly="0" labelOnly="1" grandRow="1" outline="0" fieldPosition="0"/>
    </format>
    <format dxfId="657">
      <pivotArea grandRow="1" outline="0" collapsedLevelsAreSubtotals="1" fieldPosition="0"/>
    </format>
    <format dxfId="656">
      <pivotArea dataOnly="0" labelOnly="1" grandRow="1" outline="0" fieldPosition="0"/>
    </format>
    <format dxfId="655">
      <pivotArea grandRow="1" outline="0" collapsedLevelsAreSubtotals="1" fieldPosition="0"/>
    </format>
    <format dxfId="654">
      <pivotArea dataOnly="0" labelOnly="1" grandRow="1" outline="0" fieldPosition="0"/>
    </format>
    <format dxfId="653">
      <pivotArea grandRow="1" outline="0" collapsedLevelsAreSubtotals="1" fieldPosition="0"/>
    </format>
    <format dxfId="652">
      <pivotArea dataOnly="0" labelOnly="1" grandRow="1" outline="0" fieldPosition="0"/>
    </format>
    <format dxfId="651">
      <pivotArea outline="0" collapsedLevelsAreSubtotals="1" fieldPosition="0"/>
    </format>
    <format dxfId="650">
      <pivotArea outline="0" collapsedLevelsAreSubtotals="1" fieldPosition="0"/>
    </format>
    <format dxfId="649">
      <pivotArea outline="0" collapsedLevelsAreSubtotals="1" fieldPosition="0"/>
    </format>
    <format dxfId="648">
      <pivotArea outline="0" collapsedLevelsAreSubtotals="1" fieldPosition="0"/>
    </format>
    <format dxfId="647">
      <pivotArea outline="0" collapsedLevelsAreSubtotals="1" fieldPosition="0"/>
    </format>
    <format dxfId="646">
      <pivotArea outline="0" collapsedLevelsAreSubtotals="1" fieldPosition="0"/>
    </format>
    <format dxfId="645">
      <pivotArea outline="0" collapsedLevelsAreSubtotals="1" fieldPosition="0"/>
    </format>
    <format dxfId="644">
      <pivotArea outline="0" collapsedLevelsAreSubtotals="1" fieldPosition="0"/>
    </format>
    <format dxfId="643">
      <pivotArea outline="0" collapsedLevelsAreSubtotals="1" fieldPosition="0"/>
    </format>
    <format dxfId="642">
      <pivotArea collapsedLevelsAreSubtotals="1" fieldPosition="0">
        <references count="1">
          <reference field="5" count="1">
            <x v="0"/>
          </reference>
        </references>
      </pivotArea>
    </format>
    <format dxfId="641">
      <pivotArea collapsedLevelsAreSubtotals="1" fieldPosition="0">
        <references count="1">
          <reference field="5" count="1">
            <x v="1"/>
          </reference>
        </references>
      </pivotArea>
    </format>
    <format dxfId="640">
      <pivotArea collapsedLevelsAreSubtotals="1" fieldPosition="0">
        <references count="1">
          <reference field="5" count="1">
            <x v="2"/>
          </reference>
        </references>
      </pivotArea>
    </format>
    <format dxfId="639">
      <pivotArea collapsedLevelsAreSubtotals="1" fieldPosition="0">
        <references count="1">
          <reference field="5" count="1">
            <x v="3"/>
          </reference>
        </references>
      </pivotArea>
    </format>
    <format dxfId="638">
      <pivotArea grandRow="1" outline="0" collapsedLevelsAreSubtotals="1" fieldPosition="0"/>
    </format>
    <format dxfId="637">
      <pivotArea outline="0" collapsedLevelsAreSubtotals="1" fieldPosition="0"/>
    </format>
    <format dxfId="636">
      <pivotArea outline="0" collapsedLevelsAreSubtotals="1" fieldPosition="0"/>
    </format>
    <format dxfId="635">
      <pivotArea outline="0" collapsedLevelsAreSubtotals="1" fieldPosition="0"/>
    </format>
    <format dxfId="634">
      <pivotArea outline="0" collapsedLevelsAreSubtotals="1" fieldPosition="0"/>
    </format>
    <format dxfId="633">
      <pivotArea outline="0" collapsedLevelsAreSubtotals="1" fieldPosition="0"/>
    </format>
    <format dxfId="632">
      <pivotArea outline="0" collapsedLevelsAreSubtotals="1" fieldPosition="0"/>
    </format>
    <format dxfId="631">
      <pivotArea outline="0" collapsedLevelsAreSubtotals="1" fieldPosition="0"/>
    </format>
    <format dxfId="630">
      <pivotArea outline="0" collapsedLevelsAreSubtotals="1" fieldPosition="0"/>
    </format>
    <format dxfId="629">
      <pivotArea outline="0" collapsedLevelsAreSubtotals="1" fieldPosition="0"/>
    </format>
    <format dxfId="628">
      <pivotArea outline="0" collapsedLevelsAreSubtotals="1" fieldPosition="0"/>
    </format>
    <format dxfId="627">
      <pivotArea outline="0" collapsedLevelsAreSubtotals="1" fieldPosition="0"/>
    </format>
    <format dxfId="626">
      <pivotArea outline="0" collapsedLevelsAreSubtotals="1" fieldPosition="0"/>
    </format>
    <format dxfId="625">
      <pivotArea grandRow="1" outline="0" collapsedLevelsAreSubtotals="1" fieldPosition="0"/>
    </format>
    <format dxfId="624">
      <pivotArea dataOnly="0" labelOnly="1" grandRow="1" outline="0" fieldPosition="0"/>
    </format>
    <format dxfId="623">
      <pivotArea grandRow="1" outline="0" collapsedLevelsAreSubtotals="1" fieldPosition="0"/>
    </format>
    <format dxfId="622">
      <pivotArea dataOnly="0" labelOnly="1" grandRow="1" outline="0" fieldPosition="0"/>
    </format>
    <format dxfId="621">
      <pivotArea grandRow="1" outline="0" collapsedLevelsAreSubtotals="1" fieldPosition="0"/>
    </format>
    <format dxfId="620">
      <pivotArea dataOnly="0" labelOnly="1" grandRow="1" outline="0" fieldPosition="0"/>
    </format>
    <format dxfId="619">
      <pivotArea grandRow="1" outline="0" collapsedLevelsAreSubtotals="1" fieldPosition="0"/>
    </format>
    <format dxfId="618">
      <pivotArea dataOnly="0" labelOnly="1" grandRow="1" outline="0" fieldPosition="0"/>
    </format>
    <format dxfId="617">
      <pivotArea grandRow="1" outline="0" collapsedLevelsAreSubtotals="1" fieldPosition="0"/>
    </format>
    <format dxfId="616">
      <pivotArea dataOnly="0" labelOnly="1" grandRow="1" outline="0" fieldPosition="0"/>
    </format>
    <format dxfId="615">
      <pivotArea grandRow="1" outline="0" collapsedLevelsAreSubtotals="1" fieldPosition="0"/>
    </format>
    <format dxfId="614">
      <pivotArea dataOnly="0" labelOnly="1" grandRow="1" outline="0" fieldPosition="0"/>
    </format>
    <format dxfId="613">
      <pivotArea grandRow="1" outline="0" collapsedLevelsAreSubtotals="1" fieldPosition="0"/>
    </format>
    <format dxfId="612">
      <pivotArea dataOnly="0" labelOnly="1" grandRow="1" outline="0" fieldPosition="0"/>
    </format>
    <format dxfId="611">
      <pivotArea grandRow="1" outline="0" collapsedLevelsAreSubtotals="1" fieldPosition="0"/>
    </format>
    <format dxfId="610">
      <pivotArea dataOnly="0" labelOnly="1" grandRow="1" outline="0" fieldPosition="0"/>
    </format>
    <format dxfId="609">
      <pivotArea grandRow="1" outline="0" collapsedLevelsAreSubtotals="1" fieldPosition="0"/>
    </format>
    <format dxfId="608">
      <pivotArea dataOnly="0" labelOnly="1" grandRow="1" outline="0" fieldPosition="0"/>
    </format>
    <format dxfId="607">
      <pivotArea dataOnly="0" labelOnly="1" grandRow="1" outline="0" fieldPosition="0"/>
    </format>
    <format dxfId="606">
      <pivotArea grandRow="1" outline="0" collapsedLevelsAreSubtotals="1" fieldPosition="0"/>
    </format>
    <format dxfId="605">
      <pivotArea grandRow="1" outline="0" collapsedLevelsAreSubtotals="1" fieldPosition="0"/>
    </format>
    <format dxfId="604">
      <pivotArea dataOnly="0" labelOnly="1" grandRow="1" outline="0" fieldPosition="0"/>
    </format>
    <format dxfId="603">
      <pivotArea grandRow="1" outline="0" collapsedLevelsAreSubtotals="1" fieldPosition="0"/>
    </format>
    <format dxfId="602">
      <pivotArea dataOnly="0" labelOnly="1" grandRow="1" outline="0" fieldPosition="0"/>
    </format>
    <format dxfId="601">
      <pivotArea grandRow="1" outline="0" collapsedLevelsAreSubtotals="1" fieldPosition="0"/>
    </format>
    <format dxfId="600">
      <pivotArea dataOnly="0" labelOnly="1" grandRow="1" outline="0" fieldPosition="0"/>
    </format>
    <format dxfId="599">
      <pivotArea grandRow="1" outline="0" collapsedLevelsAreSubtotals="1" fieldPosition="0"/>
    </format>
    <format dxfId="598">
      <pivotArea dataOnly="0" labelOnly="1" grandRow="1" outline="0" fieldPosition="0"/>
    </format>
    <format dxfId="597">
      <pivotArea grandRow="1" outline="0" collapsedLevelsAreSubtotals="1" fieldPosition="0"/>
    </format>
    <format dxfId="596">
      <pivotArea dataOnly="0" labelOnly="1" grandRow="1" outline="0" fieldPosition="0"/>
    </format>
    <format dxfId="595">
      <pivotArea grandRow="1" outline="0" collapsedLevelsAreSubtotals="1" fieldPosition="0"/>
    </format>
    <format dxfId="594">
      <pivotArea dataOnly="0" labelOnly="1" grandRow="1" outline="0" fieldPosition="0"/>
    </format>
    <format dxfId="593">
      <pivotArea grandRow="1" outline="0" collapsedLevelsAreSubtotals="1" fieldPosition="0"/>
    </format>
    <format dxfId="592">
      <pivotArea dataOnly="0" labelOnly="1" grandRow="1" outline="0" fieldPosition="0"/>
    </format>
    <format dxfId="591">
      <pivotArea grandRow="1" outline="0" collapsedLevelsAreSubtotals="1" fieldPosition="0"/>
    </format>
    <format dxfId="590">
      <pivotArea dataOnly="0" labelOnly="1" grandRow="1" outline="0" fieldPosition="0"/>
    </format>
    <format dxfId="589">
      <pivotArea grandRow="1" outline="0" collapsedLevelsAreSubtotals="1" fieldPosition="0"/>
    </format>
    <format dxfId="588">
      <pivotArea dataOnly="0" labelOnly="1" grandRow="1" outline="0" fieldPosition="0"/>
    </format>
    <format dxfId="587">
      <pivotArea grandRow="1" outline="0" collapsedLevelsAreSubtotals="1" fieldPosition="0"/>
    </format>
    <format dxfId="586">
      <pivotArea dataOnly="0" labelOnly="1" grandRow="1" outline="0" fieldPosition="0"/>
    </format>
    <format dxfId="585">
      <pivotArea grandRow="1" outline="0" collapsedLevelsAreSubtotals="1" fieldPosition="0"/>
    </format>
    <format dxfId="584">
      <pivotArea dataOnly="0" labelOnly="1" grandRow="1" outline="0" fieldPosition="0"/>
    </format>
    <format dxfId="583">
      <pivotArea grandRow="1" outline="0" collapsedLevelsAreSubtotals="1" fieldPosition="0"/>
    </format>
    <format dxfId="582">
      <pivotArea dataOnly="0" labelOnly="1" grandRow="1" outline="0" fieldPosition="0"/>
    </format>
    <format dxfId="581">
      <pivotArea dataOnly="0" labelOnly="1" grandRow="1" outline="0" fieldPosition="0"/>
    </format>
    <format dxfId="580">
      <pivotArea dataOnly="0" labelOnly="1" grandRow="1" outline="0" fieldPosition="0"/>
    </format>
    <format dxfId="579">
      <pivotArea dataOnly="0" labelOnly="1" grandRow="1" outline="0" fieldPosition="0"/>
    </format>
    <format dxfId="578">
      <pivotArea dataOnly="0" labelOnly="1" grandRow="1" outline="0" fieldPosition="0"/>
    </format>
    <format dxfId="577">
      <pivotArea dataOnly="0" labelOnly="1" grandRow="1" outline="0" fieldPosition="0"/>
    </format>
  </formats>
  <chartFormats count="11">
    <chartFormat chart="1" format="5" series="1">
      <pivotArea type="data" outline="0" fieldPosition="0">
        <references count="1">
          <reference field="4294967294" count="1" selected="0">
            <x v="0"/>
          </reference>
        </references>
      </pivotArea>
    </chartFormat>
    <chartFormat chart="1" format="6">
      <pivotArea type="data" outline="0" fieldPosition="0">
        <references count="2">
          <reference field="4294967294" count="1" selected="0">
            <x v="0"/>
          </reference>
          <reference field="5" count="1" selected="0">
            <x v="0"/>
          </reference>
        </references>
      </pivotArea>
    </chartFormat>
    <chartFormat chart="1" format="7">
      <pivotArea type="data" outline="0" fieldPosition="0">
        <references count="2">
          <reference field="4294967294" count="1" selected="0">
            <x v="0"/>
          </reference>
          <reference field="5" count="1" selected="0">
            <x v="1"/>
          </reference>
        </references>
      </pivotArea>
    </chartFormat>
    <chartFormat chart="1" format="8">
      <pivotArea type="data" outline="0" fieldPosition="0">
        <references count="2">
          <reference field="4294967294" count="1" selected="0">
            <x v="0"/>
          </reference>
          <reference field="5" count="1" selected="0">
            <x v="2"/>
          </reference>
        </references>
      </pivotArea>
    </chartFormat>
    <chartFormat chart="1" format="9">
      <pivotArea type="data" outline="0" fieldPosition="0">
        <references count="2">
          <reference field="4294967294" count="1" selected="0">
            <x v="0"/>
          </reference>
          <reference field="5" count="1" selected="0">
            <x v="3"/>
          </reference>
        </references>
      </pivotArea>
    </chartFormat>
    <chartFormat chart="9" format="21"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1" format="1">
      <pivotArea type="data" outline="0" fieldPosition="0">
        <references count="2">
          <reference field="4294967294" count="1" selected="0">
            <x v="0"/>
          </reference>
          <reference field="5" count="1" selected="0">
            <x v="0"/>
          </reference>
        </references>
      </pivotArea>
    </chartFormat>
    <chartFormat chart="11" format="2">
      <pivotArea type="data" outline="0" fieldPosition="0">
        <references count="2">
          <reference field="4294967294" count="1" selected="0">
            <x v="0"/>
          </reference>
          <reference field="5" count="1" selected="0">
            <x v="1"/>
          </reference>
        </references>
      </pivotArea>
    </chartFormat>
    <chartFormat chart="11" format="3">
      <pivotArea type="data" outline="0" fieldPosition="0">
        <references count="2">
          <reference field="4294967294" count="1" selected="0">
            <x v="0"/>
          </reference>
          <reference field="5" count="1" selected="0">
            <x v="2"/>
          </reference>
        </references>
      </pivotArea>
    </chartFormat>
    <chartFormat chart="11" format="4">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B1853EC-2A5D-42EA-9EFC-A97709CA35C4}"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location ref="A42:B49" firstHeaderRow="1" firstDataRow="1" firstDataCol="1"/>
  <pivotFields count="7">
    <pivotField dataField="1" showAll="0">
      <items count="21">
        <item x="0"/>
        <item x="1"/>
        <item x="2"/>
        <item x="3"/>
        <item x="4"/>
        <item x="5"/>
        <item x="6"/>
        <item x="7"/>
        <item x="8"/>
        <item x="9"/>
        <item x="10"/>
        <item x="11"/>
        <item x="12"/>
        <item x="13"/>
        <item x="14"/>
        <item x="15"/>
        <item x="16"/>
        <item x="17"/>
        <item x="18"/>
        <item x="19"/>
        <item t="default"/>
      </items>
    </pivotField>
    <pivotField showAll="0">
      <items count="20">
        <item x="2"/>
        <item x="11"/>
        <item x="7"/>
        <item x="17"/>
        <item x="6"/>
        <item x="14"/>
        <item x="18"/>
        <item x="4"/>
        <item x="8"/>
        <item x="13"/>
        <item x="3"/>
        <item x="0"/>
        <item x="12"/>
        <item x="5"/>
        <item x="16"/>
        <item x="10"/>
        <item x="15"/>
        <item x="1"/>
        <item x="9"/>
        <item t="default"/>
      </items>
    </pivotField>
    <pivotField showAll="0">
      <items count="8">
        <item x="3"/>
        <item x="4"/>
        <item x="2"/>
        <item x="6"/>
        <item x="5"/>
        <item x="1"/>
        <item x="0"/>
        <item t="default"/>
      </items>
    </pivotField>
    <pivotField axis="axisRow" showAll="0">
      <items count="7">
        <item x="2"/>
        <item x="0"/>
        <item x="3"/>
        <item x="1"/>
        <item x="4"/>
        <item x="5"/>
        <item t="default"/>
      </items>
    </pivotField>
    <pivotField showAll="0"/>
    <pivotField showAll="0">
      <items count="5">
        <item x="2"/>
        <item x="0"/>
        <item x="1"/>
        <item x="3"/>
        <item t="default"/>
      </items>
    </pivotField>
    <pivotField showAll="0"/>
  </pivotFields>
  <rowFields count="1">
    <field x="3"/>
  </rowFields>
  <rowItems count="7">
    <i>
      <x/>
    </i>
    <i>
      <x v="1"/>
    </i>
    <i>
      <x v="2"/>
    </i>
    <i>
      <x v="3"/>
    </i>
    <i>
      <x v="4"/>
    </i>
    <i>
      <x v="5"/>
    </i>
    <i t="grand">
      <x/>
    </i>
  </rowItems>
  <colItems count="1">
    <i/>
  </colItems>
  <dataFields count="1">
    <dataField name="Count of Order_ID" fld="0" subtotal="count" showDataAs="percentOfTotal" baseField="3" baseItem="0" numFmtId="10"/>
  </dataFields>
  <formats count="577">
    <format dxfId="1710">
      <pivotArea type="all" dataOnly="0" outline="0" fieldPosition="0"/>
    </format>
    <format dxfId="1709">
      <pivotArea outline="0" collapsedLevelsAreSubtotals="1" fieldPosition="0"/>
    </format>
    <format dxfId="1708">
      <pivotArea field="3" type="button" dataOnly="0" labelOnly="1" outline="0" axis="axisRow" fieldPosition="0"/>
    </format>
    <format dxfId="1707">
      <pivotArea dataOnly="0" labelOnly="1" outline="0" axis="axisValues" fieldPosition="0"/>
    </format>
    <format dxfId="1706">
      <pivotArea dataOnly="0" labelOnly="1" fieldPosition="0">
        <references count="1">
          <reference field="3" count="0"/>
        </references>
      </pivotArea>
    </format>
    <format dxfId="1705">
      <pivotArea dataOnly="0" labelOnly="1" grandRow="1" outline="0" fieldPosition="0"/>
    </format>
    <format dxfId="1704">
      <pivotArea dataOnly="0" labelOnly="1" outline="0" axis="axisValues" fieldPosition="0"/>
    </format>
    <format dxfId="1703">
      <pivotArea type="all" dataOnly="0" outline="0" fieldPosition="0"/>
    </format>
    <format dxfId="1702">
      <pivotArea outline="0" collapsedLevelsAreSubtotals="1" fieldPosition="0"/>
    </format>
    <format dxfId="1701">
      <pivotArea field="3" type="button" dataOnly="0" labelOnly="1" outline="0" axis="axisRow" fieldPosition="0"/>
    </format>
    <format dxfId="1700">
      <pivotArea dataOnly="0" labelOnly="1" outline="0" axis="axisValues" fieldPosition="0"/>
    </format>
    <format dxfId="1699">
      <pivotArea dataOnly="0" labelOnly="1" fieldPosition="0">
        <references count="1">
          <reference field="3" count="0"/>
        </references>
      </pivotArea>
    </format>
    <format dxfId="1698">
      <pivotArea dataOnly="0" labelOnly="1" grandRow="1" outline="0" fieldPosition="0"/>
    </format>
    <format dxfId="1697">
      <pivotArea dataOnly="0" labelOnly="1" outline="0" axis="axisValues" fieldPosition="0"/>
    </format>
    <format dxfId="1696">
      <pivotArea field="3" type="button" dataOnly="0" labelOnly="1" outline="0" axis="axisRow" fieldPosition="0"/>
    </format>
    <format dxfId="1695">
      <pivotArea dataOnly="0" labelOnly="1" outline="0" axis="axisValues" fieldPosition="0"/>
    </format>
    <format dxfId="1694">
      <pivotArea dataOnly="0" labelOnly="1" outline="0" axis="axisValues" fieldPosition="0"/>
    </format>
    <format dxfId="1693">
      <pivotArea field="3" type="button" dataOnly="0" labelOnly="1" outline="0" axis="axisRow" fieldPosition="0"/>
    </format>
    <format dxfId="1692">
      <pivotArea dataOnly="0" labelOnly="1" outline="0" axis="axisValues" fieldPosition="0"/>
    </format>
    <format dxfId="1691">
      <pivotArea dataOnly="0" labelOnly="1" outline="0" axis="axisValues" fieldPosition="0"/>
    </format>
    <format dxfId="1690">
      <pivotArea field="3" type="button" dataOnly="0" labelOnly="1" outline="0" axis="axisRow" fieldPosition="0"/>
    </format>
    <format dxfId="1689">
      <pivotArea dataOnly="0" labelOnly="1" outline="0" axis="axisValues" fieldPosition="0"/>
    </format>
    <format dxfId="1688">
      <pivotArea dataOnly="0" labelOnly="1" outline="0" axis="axisValues" fieldPosition="0"/>
    </format>
    <format dxfId="1687">
      <pivotArea field="3" type="button" dataOnly="0" labelOnly="1" outline="0" axis="axisRow" fieldPosition="0"/>
    </format>
    <format dxfId="1686">
      <pivotArea dataOnly="0" labelOnly="1" outline="0" axis="axisValues" fieldPosition="0"/>
    </format>
    <format dxfId="1685">
      <pivotArea dataOnly="0" labelOnly="1" outline="0" axis="axisValues" fieldPosition="0"/>
    </format>
    <format dxfId="1684">
      <pivotArea collapsedLevelsAreSubtotals="1" fieldPosition="0">
        <references count="1">
          <reference field="3" count="0"/>
        </references>
      </pivotArea>
    </format>
    <format dxfId="1683">
      <pivotArea dataOnly="0" labelOnly="1" fieldPosition="0">
        <references count="1">
          <reference field="3" count="0"/>
        </references>
      </pivotArea>
    </format>
    <format dxfId="1682">
      <pivotArea collapsedLevelsAreSubtotals="1" fieldPosition="0">
        <references count="1">
          <reference field="3" count="0"/>
        </references>
      </pivotArea>
    </format>
    <format dxfId="1681">
      <pivotArea dataOnly="0" labelOnly="1" fieldPosition="0">
        <references count="1">
          <reference field="3" count="0"/>
        </references>
      </pivotArea>
    </format>
    <format dxfId="1680">
      <pivotArea grandRow="1" outline="0" collapsedLevelsAreSubtotals="1" fieldPosition="0"/>
    </format>
    <format dxfId="1679">
      <pivotArea dataOnly="0" labelOnly="1" grandRow="1" outline="0" fieldPosition="0"/>
    </format>
    <format dxfId="1678">
      <pivotArea grandRow="1" outline="0" collapsedLevelsAreSubtotals="1" fieldPosition="0"/>
    </format>
    <format dxfId="1677">
      <pivotArea dataOnly="0" labelOnly="1" grandRow="1" outline="0" fieldPosition="0"/>
    </format>
    <format dxfId="1676">
      <pivotArea grandRow="1" outline="0" collapsedLevelsAreSubtotals="1" fieldPosition="0"/>
    </format>
    <format dxfId="1675">
      <pivotArea dataOnly="0" labelOnly="1" grandRow="1" outline="0" fieldPosition="0"/>
    </format>
    <format dxfId="1674">
      <pivotArea type="all" dataOnly="0" outline="0" fieldPosition="0"/>
    </format>
    <format dxfId="1673">
      <pivotArea outline="0" collapsedLevelsAreSubtotals="1" fieldPosition="0"/>
    </format>
    <format dxfId="1672">
      <pivotArea field="3" type="button" dataOnly="0" labelOnly="1" outline="0" axis="axisRow" fieldPosition="0"/>
    </format>
    <format dxfId="1671">
      <pivotArea dataOnly="0" labelOnly="1" outline="0" axis="axisValues" fieldPosition="0"/>
    </format>
    <format dxfId="1670">
      <pivotArea dataOnly="0" labelOnly="1" fieldPosition="0">
        <references count="1">
          <reference field="3" count="0"/>
        </references>
      </pivotArea>
    </format>
    <format dxfId="1669">
      <pivotArea dataOnly="0" labelOnly="1" grandRow="1" outline="0" fieldPosition="0"/>
    </format>
    <format dxfId="1668">
      <pivotArea dataOnly="0" labelOnly="1" outline="0" axis="axisValues" fieldPosition="0"/>
    </format>
    <format dxfId="1667">
      <pivotArea type="all" dataOnly="0" outline="0" fieldPosition="0"/>
    </format>
    <format dxfId="1666">
      <pivotArea outline="0" collapsedLevelsAreSubtotals="1" fieldPosition="0"/>
    </format>
    <format dxfId="1665">
      <pivotArea field="3" type="button" dataOnly="0" labelOnly="1" outline="0" axis="axisRow" fieldPosition="0"/>
    </format>
    <format dxfId="1664">
      <pivotArea dataOnly="0" labelOnly="1" outline="0" axis="axisValues" fieldPosition="0"/>
    </format>
    <format dxfId="1663">
      <pivotArea dataOnly="0" labelOnly="1" fieldPosition="0">
        <references count="1">
          <reference field="3" count="0"/>
        </references>
      </pivotArea>
    </format>
    <format dxfId="1662">
      <pivotArea dataOnly="0" labelOnly="1" grandRow="1" outline="0" fieldPosition="0"/>
    </format>
    <format dxfId="1661">
      <pivotArea dataOnly="0" labelOnly="1" outline="0" axis="axisValues" fieldPosition="0"/>
    </format>
    <format dxfId="1660">
      <pivotArea type="all" dataOnly="0" outline="0" fieldPosition="0"/>
    </format>
    <format dxfId="1659">
      <pivotArea outline="0" collapsedLevelsAreSubtotals="1" fieldPosition="0"/>
    </format>
    <format dxfId="1658">
      <pivotArea field="3" type="button" dataOnly="0" labelOnly="1" outline="0" axis="axisRow" fieldPosition="0"/>
    </format>
    <format dxfId="1657">
      <pivotArea dataOnly="0" labelOnly="1" outline="0" axis="axisValues" fieldPosition="0"/>
    </format>
    <format dxfId="1656">
      <pivotArea dataOnly="0" labelOnly="1" fieldPosition="0">
        <references count="1">
          <reference field="3" count="0"/>
        </references>
      </pivotArea>
    </format>
    <format dxfId="1655">
      <pivotArea dataOnly="0" labelOnly="1" grandRow="1" outline="0" fieldPosition="0"/>
    </format>
    <format dxfId="1654">
      <pivotArea dataOnly="0" labelOnly="1" outline="0" axis="axisValues" fieldPosition="0"/>
    </format>
    <format dxfId="1653">
      <pivotArea type="all" dataOnly="0" outline="0" fieldPosition="0"/>
    </format>
    <format dxfId="1652">
      <pivotArea outline="0" collapsedLevelsAreSubtotals="1" fieldPosition="0"/>
    </format>
    <format dxfId="1651">
      <pivotArea field="3" type="button" dataOnly="0" labelOnly="1" outline="0" axis="axisRow" fieldPosition="0"/>
    </format>
    <format dxfId="1650">
      <pivotArea dataOnly="0" labelOnly="1" outline="0" axis="axisValues" fieldPosition="0"/>
    </format>
    <format dxfId="1649">
      <pivotArea dataOnly="0" labelOnly="1" fieldPosition="0">
        <references count="1">
          <reference field="3" count="0"/>
        </references>
      </pivotArea>
    </format>
    <format dxfId="1648">
      <pivotArea dataOnly="0" labelOnly="1" grandRow="1" outline="0" fieldPosition="0"/>
    </format>
    <format dxfId="1647">
      <pivotArea dataOnly="0" labelOnly="1" outline="0" axis="axisValues" fieldPosition="0"/>
    </format>
    <format dxfId="1646">
      <pivotArea type="all" dataOnly="0" outline="0" fieldPosition="0"/>
    </format>
    <format dxfId="1645">
      <pivotArea outline="0" collapsedLevelsAreSubtotals="1" fieldPosition="0"/>
    </format>
    <format dxfId="1644">
      <pivotArea field="3" type="button" dataOnly="0" labelOnly="1" outline="0" axis="axisRow" fieldPosition="0"/>
    </format>
    <format dxfId="1643">
      <pivotArea dataOnly="0" labelOnly="1" outline="0" axis="axisValues" fieldPosition="0"/>
    </format>
    <format dxfId="1642">
      <pivotArea dataOnly="0" labelOnly="1" fieldPosition="0">
        <references count="1">
          <reference field="3" count="0"/>
        </references>
      </pivotArea>
    </format>
    <format dxfId="1641">
      <pivotArea dataOnly="0" labelOnly="1" grandRow="1" outline="0" fieldPosition="0"/>
    </format>
    <format dxfId="1640">
      <pivotArea dataOnly="0" labelOnly="1" outline="0" axis="axisValues" fieldPosition="0"/>
    </format>
    <format dxfId="1639">
      <pivotArea type="all" dataOnly="0" outline="0" fieldPosition="0"/>
    </format>
    <format dxfId="1638">
      <pivotArea outline="0" collapsedLevelsAreSubtotals="1" fieldPosition="0"/>
    </format>
    <format dxfId="1637">
      <pivotArea field="3" type="button" dataOnly="0" labelOnly="1" outline="0" axis="axisRow" fieldPosition="0"/>
    </format>
    <format dxfId="1636">
      <pivotArea dataOnly="0" labelOnly="1" outline="0" axis="axisValues" fieldPosition="0"/>
    </format>
    <format dxfId="1635">
      <pivotArea dataOnly="0" labelOnly="1" fieldPosition="0">
        <references count="1">
          <reference field="3" count="0"/>
        </references>
      </pivotArea>
    </format>
    <format dxfId="1634">
      <pivotArea dataOnly="0" labelOnly="1" grandRow="1" outline="0" fieldPosition="0"/>
    </format>
    <format dxfId="1633">
      <pivotArea dataOnly="0" labelOnly="1" outline="0" axis="axisValues" fieldPosition="0"/>
    </format>
    <format dxfId="1632">
      <pivotArea type="all" dataOnly="0" outline="0" fieldPosition="0"/>
    </format>
    <format dxfId="1631">
      <pivotArea outline="0" collapsedLevelsAreSubtotals="1" fieldPosition="0"/>
    </format>
    <format dxfId="1630">
      <pivotArea field="3" type="button" dataOnly="0" labelOnly="1" outline="0" axis="axisRow" fieldPosition="0"/>
    </format>
    <format dxfId="1629">
      <pivotArea dataOnly="0" labelOnly="1" outline="0" axis="axisValues" fieldPosition="0"/>
    </format>
    <format dxfId="1628">
      <pivotArea dataOnly="0" labelOnly="1" fieldPosition="0">
        <references count="1">
          <reference field="3" count="0"/>
        </references>
      </pivotArea>
    </format>
    <format dxfId="1627">
      <pivotArea dataOnly="0" labelOnly="1" grandRow="1" outline="0" fieldPosition="0"/>
    </format>
    <format dxfId="1626">
      <pivotArea dataOnly="0" labelOnly="1" outline="0" axis="axisValues" fieldPosition="0"/>
    </format>
    <format dxfId="1625">
      <pivotArea type="all" dataOnly="0" outline="0" fieldPosition="0"/>
    </format>
    <format dxfId="1624">
      <pivotArea outline="0" collapsedLevelsAreSubtotals="1" fieldPosition="0"/>
    </format>
    <format dxfId="1623">
      <pivotArea field="3" type="button" dataOnly="0" labelOnly="1" outline="0" axis="axisRow" fieldPosition="0"/>
    </format>
    <format dxfId="1622">
      <pivotArea dataOnly="0" labelOnly="1" outline="0" axis="axisValues" fieldPosition="0"/>
    </format>
    <format dxfId="1621">
      <pivotArea dataOnly="0" labelOnly="1" fieldPosition="0">
        <references count="1">
          <reference field="3" count="0"/>
        </references>
      </pivotArea>
    </format>
    <format dxfId="1620">
      <pivotArea dataOnly="0" labelOnly="1" grandRow="1" outline="0" fieldPosition="0"/>
    </format>
    <format dxfId="1619">
      <pivotArea dataOnly="0" labelOnly="1" outline="0" axis="axisValues" fieldPosition="0"/>
    </format>
    <format dxfId="1618">
      <pivotArea type="all" dataOnly="0" outline="0" fieldPosition="0"/>
    </format>
    <format dxfId="1617">
      <pivotArea outline="0" collapsedLevelsAreSubtotals="1" fieldPosition="0"/>
    </format>
    <format dxfId="1616">
      <pivotArea field="3" type="button" dataOnly="0" labelOnly="1" outline="0" axis="axisRow" fieldPosition="0"/>
    </format>
    <format dxfId="1615">
      <pivotArea dataOnly="0" labelOnly="1" outline="0" axis="axisValues" fieldPosition="0"/>
    </format>
    <format dxfId="1614">
      <pivotArea dataOnly="0" labelOnly="1" fieldPosition="0">
        <references count="1">
          <reference field="3" count="0"/>
        </references>
      </pivotArea>
    </format>
    <format dxfId="1613">
      <pivotArea dataOnly="0" labelOnly="1" grandRow="1" outline="0" fieldPosition="0"/>
    </format>
    <format dxfId="1612">
      <pivotArea dataOnly="0" labelOnly="1" outline="0" axis="axisValues" fieldPosition="0"/>
    </format>
    <format dxfId="1611">
      <pivotArea type="all" dataOnly="0" outline="0" fieldPosition="0"/>
    </format>
    <format dxfId="1610">
      <pivotArea outline="0" collapsedLevelsAreSubtotals="1" fieldPosition="0"/>
    </format>
    <format dxfId="1609">
      <pivotArea field="3" type="button" dataOnly="0" labelOnly="1" outline="0" axis="axisRow" fieldPosition="0"/>
    </format>
    <format dxfId="1608">
      <pivotArea dataOnly="0" labelOnly="1" outline="0" axis="axisValues" fieldPosition="0"/>
    </format>
    <format dxfId="1607">
      <pivotArea dataOnly="0" labelOnly="1" fieldPosition="0">
        <references count="1">
          <reference field="3" count="0"/>
        </references>
      </pivotArea>
    </format>
    <format dxfId="1606">
      <pivotArea dataOnly="0" labelOnly="1" grandRow="1" outline="0" fieldPosition="0"/>
    </format>
    <format dxfId="1605">
      <pivotArea dataOnly="0" labelOnly="1" outline="0" axis="axisValues" fieldPosition="0"/>
    </format>
    <format dxfId="1604">
      <pivotArea type="all" dataOnly="0" outline="0" fieldPosition="0"/>
    </format>
    <format dxfId="1603">
      <pivotArea outline="0" collapsedLevelsAreSubtotals="1" fieldPosition="0"/>
    </format>
    <format dxfId="1602">
      <pivotArea field="3" type="button" dataOnly="0" labelOnly="1" outline="0" axis="axisRow" fieldPosition="0"/>
    </format>
    <format dxfId="1601">
      <pivotArea dataOnly="0" labelOnly="1" outline="0" axis="axisValues" fieldPosition="0"/>
    </format>
    <format dxfId="1600">
      <pivotArea dataOnly="0" labelOnly="1" fieldPosition="0">
        <references count="1">
          <reference field="3" count="0"/>
        </references>
      </pivotArea>
    </format>
    <format dxfId="1599">
      <pivotArea dataOnly="0" labelOnly="1" grandRow="1" outline="0" fieldPosition="0"/>
    </format>
    <format dxfId="1598">
      <pivotArea dataOnly="0" labelOnly="1" outline="0" axis="axisValues" fieldPosition="0"/>
    </format>
    <format dxfId="1597">
      <pivotArea type="all" dataOnly="0" outline="0" fieldPosition="0"/>
    </format>
    <format dxfId="1596">
      <pivotArea outline="0" collapsedLevelsAreSubtotals="1" fieldPosition="0"/>
    </format>
    <format dxfId="1595">
      <pivotArea field="3" type="button" dataOnly="0" labelOnly="1" outline="0" axis="axisRow" fieldPosition="0"/>
    </format>
    <format dxfId="1594">
      <pivotArea dataOnly="0" labelOnly="1" outline="0" axis="axisValues" fieldPosition="0"/>
    </format>
    <format dxfId="1593">
      <pivotArea dataOnly="0" labelOnly="1" fieldPosition="0">
        <references count="1">
          <reference field="3" count="0"/>
        </references>
      </pivotArea>
    </format>
    <format dxfId="1592">
      <pivotArea dataOnly="0" labelOnly="1" grandRow="1" outline="0" fieldPosition="0"/>
    </format>
    <format dxfId="1591">
      <pivotArea dataOnly="0" labelOnly="1" outline="0" axis="axisValues" fieldPosition="0"/>
    </format>
    <format dxfId="1590">
      <pivotArea type="all" dataOnly="0" outline="0" fieldPosition="0"/>
    </format>
    <format dxfId="1589">
      <pivotArea outline="0" collapsedLevelsAreSubtotals="1" fieldPosition="0"/>
    </format>
    <format dxfId="1588">
      <pivotArea field="3" type="button" dataOnly="0" labelOnly="1" outline="0" axis="axisRow" fieldPosition="0"/>
    </format>
    <format dxfId="1587">
      <pivotArea dataOnly="0" labelOnly="1" outline="0" axis="axisValues" fieldPosition="0"/>
    </format>
    <format dxfId="1586">
      <pivotArea dataOnly="0" labelOnly="1" fieldPosition="0">
        <references count="1">
          <reference field="3" count="0"/>
        </references>
      </pivotArea>
    </format>
    <format dxfId="1585">
      <pivotArea dataOnly="0" labelOnly="1" grandRow="1" outline="0" fieldPosition="0"/>
    </format>
    <format dxfId="1584">
      <pivotArea dataOnly="0" labelOnly="1" outline="0" axis="axisValues" fieldPosition="0"/>
    </format>
    <format dxfId="1583">
      <pivotArea type="all" dataOnly="0" outline="0" fieldPosition="0"/>
    </format>
    <format dxfId="1582">
      <pivotArea outline="0" collapsedLevelsAreSubtotals="1" fieldPosition="0"/>
    </format>
    <format dxfId="1581">
      <pivotArea field="3" type="button" dataOnly="0" labelOnly="1" outline="0" axis="axisRow" fieldPosition="0"/>
    </format>
    <format dxfId="1580">
      <pivotArea dataOnly="0" labelOnly="1" outline="0" axis="axisValues" fieldPosition="0"/>
    </format>
    <format dxfId="1579">
      <pivotArea dataOnly="0" labelOnly="1" fieldPosition="0">
        <references count="1">
          <reference field="3" count="0"/>
        </references>
      </pivotArea>
    </format>
    <format dxfId="1578">
      <pivotArea dataOnly="0" labelOnly="1" grandRow="1" outline="0" fieldPosition="0"/>
    </format>
    <format dxfId="1577">
      <pivotArea dataOnly="0" labelOnly="1" outline="0" axis="axisValues" fieldPosition="0"/>
    </format>
    <format dxfId="1576">
      <pivotArea type="all" dataOnly="0" outline="0" fieldPosition="0"/>
    </format>
    <format dxfId="1575">
      <pivotArea outline="0" collapsedLevelsAreSubtotals="1" fieldPosition="0"/>
    </format>
    <format dxfId="1574">
      <pivotArea field="3" type="button" dataOnly="0" labelOnly="1" outline="0" axis="axisRow" fieldPosition="0"/>
    </format>
    <format dxfId="1573">
      <pivotArea dataOnly="0" labelOnly="1" outline="0" axis="axisValues" fieldPosition="0"/>
    </format>
    <format dxfId="1572">
      <pivotArea dataOnly="0" labelOnly="1" fieldPosition="0">
        <references count="1">
          <reference field="3" count="0"/>
        </references>
      </pivotArea>
    </format>
    <format dxfId="1571">
      <pivotArea dataOnly="0" labelOnly="1" grandRow="1" outline="0" fieldPosition="0"/>
    </format>
    <format dxfId="1570">
      <pivotArea dataOnly="0" labelOnly="1" outline="0" axis="axisValues" fieldPosition="0"/>
    </format>
    <format dxfId="1569">
      <pivotArea type="all" dataOnly="0" outline="0" fieldPosition="0"/>
    </format>
    <format dxfId="1568">
      <pivotArea outline="0" collapsedLevelsAreSubtotals="1" fieldPosition="0"/>
    </format>
    <format dxfId="1567">
      <pivotArea field="3" type="button" dataOnly="0" labelOnly="1" outline="0" axis="axisRow" fieldPosition="0"/>
    </format>
    <format dxfId="1566">
      <pivotArea dataOnly="0" labelOnly="1" outline="0" axis="axisValues" fieldPosition="0"/>
    </format>
    <format dxfId="1565">
      <pivotArea dataOnly="0" labelOnly="1" fieldPosition="0">
        <references count="1">
          <reference field="3" count="0"/>
        </references>
      </pivotArea>
    </format>
    <format dxfId="1564">
      <pivotArea dataOnly="0" labelOnly="1" grandRow="1" outline="0" fieldPosition="0"/>
    </format>
    <format dxfId="1563">
      <pivotArea dataOnly="0" labelOnly="1" outline="0" axis="axisValues" fieldPosition="0"/>
    </format>
    <format dxfId="1562">
      <pivotArea type="all" dataOnly="0" outline="0" fieldPosition="0"/>
    </format>
    <format dxfId="1561">
      <pivotArea outline="0" collapsedLevelsAreSubtotals="1" fieldPosition="0"/>
    </format>
    <format dxfId="1560">
      <pivotArea field="3" type="button" dataOnly="0" labelOnly="1" outline="0" axis="axisRow" fieldPosition="0"/>
    </format>
    <format dxfId="1559">
      <pivotArea dataOnly="0" labelOnly="1" outline="0" axis="axisValues" fieldPosition="0"/>
    </format>
    <format dxfId="1558">
      <pivotArea dataOnly="0" labelOnly="1" fieldPosition="0">
        <references count="1">
          <reference field="3" count="0"/>
        </references>
      </pivotArea>
    </format>
    <format dxfId="1557">
      <pivotArea dataOnly="0" labelOnly="1" grandRow="1" outline="0" fieldPosition="0"/>
    </format>
    <format dxfId="1556">
      <pivotArea dataOnly="0" labelOnly="1" outline="0" axis="axisValues" fieldPosition="0"/>
    </format>
    <format dxfId="1555">
      <pivotArea type="all" dataOnly="0" outline="0" fieldPosition="0"/>
    </format>
    <format dxfId="1554">
      <pivotArea outline="0" collapsedLevelsAreSubtotals="1" fieldPosition="0"/>
    </format>
    <format dxfId="1553">
      <pivotArea field="3" type="button" dataOnly="0" labelOnly="1" outline="0" axis="axisRow" fieldPosition="0"/>
    </format>
    <format dxfId="1552">
      <pivotArea dataOnly="0" labelOnly="1" outline="0" axis="axisValues" fieldPosition="0"/>
    </format>
    <format dxfId="1551">
      <pivotArea dataOnly="0" labelOnly="1" fieldPosition="0">
        <references count="1">
          <reference field="3" count="0"/>
        </references>
      </pivotArea>
    </format>
    <format dxfId="1550">
      <pivotArea dataOnly="0" labelOnly="1" grandRow="1" outline="0" fieldPosition="0"/>
    </format>
    <format dxfId="1549">
      <pivotArea dataOnly="0" labelOnly="1" outline="0" axis="axisValues" fieldPosition="0"/>
    </format>
    <format dxfId="1548">
      <pivotArea collapsedLevelsAreSubtotals="1" fieldPosition="0">
        <references count="1">
          <reference field="3" count="1">
            <x v="0"/>
          </reference>
        </references>
      </pivotArea>
    </format>
    <format dxfId="1547">
      <pivotArea collapsedLevelsAreSubtotals="1" fieldPosition="0">
        <references count="1">
          <reference field="3" count="1">
            <x v="1"/>
          </reference>
        </references>
      </pivotArea>
    </format>
    <format dxfId="1546">
      <pivotArea collapsedLevelsAreSubtotals="1" fieldPosition="0">
        <references count="1">
          <reference field="3" count="1">
            <x v="2"/>
          </reference>
        </references>
      </pivotArea>
    </format>
    <format dxfId="1545">
      <pivotArea collapsedLevelsAreSubtotals="1" fieldPosition="0">
        <references count="1">
          <reference field="3" count="1">
            <x v="3"/>
          </reference>
        </references>
      </pivotArea>
    </format>
    <format dxfId="1544">
      <pivotArea collapsedLevelsAreSubtotals="1" fieldPosition="0">
        <references count="1">
          <reference field="3" count="1">
            <x v="4"/>
          </reference>
        </references>
      </pivotArea>
    </format>
    <format dxfId="1543">
      <pivotArea collapsedLevelsAreSubtotals="1" fieldPosition="0">
        <references count="1">
          <reference field="3" count="1">
            <x v="5"/>
          </reference>
        </references>
      </pivotArea>
    </format>
    <format dxfId="1542">
      <pivotArea grandRow="1" outline="0" collapsedLevelsAreSubtotals="1" fieldPosition="0"/>
    </format>
    <format dxfId="1541">
      <pivotArea type="all" dataOnly="0" outline="0" fieldPosition="0"/>
    </format>
    <format dxfId="1540">
      <pivotArea outline="0" collapsedLevelsAreSubtotals="1" fieldPosition="0"/>
    </format>
    <format dxfId="1539">
      <pivotArea field="3" type="button" dataOnly="0" labelOnly="1" outline="0" axis="axisRow" fieldPosition="0"/>
    </format>
    <format dxfId="1538">
      <pivotArea dataOnly="0" labelOnly="1" outline="0" axis="axisValues" fieldPosition="0"/>
    </format>
    <format dxfId="1537">
      <pivotArea dataOnly="0" labelOnly="1" fieldPosition="0">
        <references count="1">
          <reference field="3" count="0"/>
        </references>
      </pivotArea>
    </format>
    <format dxfId="1536">
      <pivotArea dataOnly="0" labelOnly="1" grandRow="1" outline="0" fieldPosition="0"/>
    </format>
    <format dxfId="1535">
      <pivotArea dataOnly="0" labelOnly="1" outline="0" axis="axisValues" fieldPosition="0"/>
    </format>
    <format dxfId="1534">
      <pivotArea type="all" dataOnly="0" outline="0" fieldPosition="0"/>
    </format>
    <format dxfId="1533">
      <pivotArea outline="0" collapsedLevelsAreSubtotals="1" fieldPosition="0"/>
    </format>
    <format dxfId="1532">
      <pivotArea field="3" type="button" dataOnly="0" labelOnly="1" outline="0" axis="axisRow" fieldPosition="0"/>
    </format>
    <format dxfId="1531">
      <pivotArea dataOnly="0" labelOnly="1" outline="0" axis="axisValues" fieldPosition="0"/>
    </format>
    <format dxfId="1530">
      <pivotArea dataOnly="0" labelOnly="1" fieldPosition="0">
        <references count="1">
          <reference field="3" count="0"/>
        </references>
      </pivotArea>
    </format>
    <format dxfId="1529">
      <pivotArea dataOnly="0" labelOnly="1" grandRow="1" outline="0" fieldPosition="0"/>
    </format>
    <format dxfId="1528">
      <pivotArea dataOnly="0" labelOnly="1" outline="0" axis="axisValues" fieldPosition="0"/>
    </format>
    <format dxfId="1527">
      <pivotArea field="3" type="button" dataOnly="0" labelOnly="1" outline="0" axis="axisRow" fieldPosition="0"/>
    </format>
    <format dxfId="1526">
      <pivotArea dataOnly="0" labelOnly="1" outline="0" axis="axisValues" fieldPosition="0"/>
    </format>
    <format dxfId="1525">
      <pivotArea dataOnly="0" labelOnly="1" outline="0" axis="axisValues" fieldPosition="0"/>
    </format>
    <format dxfId="1524">
      <pivotArea field="3" type="button" dataOnly="0" labelOnly="1" outline="0" axis="axisRow" fieldPosition="0"/>
    </format>
    <format dxfId="1523">
      <pivotArea dataOnly="0" labelOnly="1" outline="0" axis="axisValues" fieldPosition="0"/>
    </format>
    <format dxfId="1522">
      <pivotArea dataOnly="0" labelOnly="1" outline="0" axis="axisValues" fieldPosition="0"/>
    </format>
    <format dxfId="1521">
      <pivotArea field="3" type="button" dataOnly="0" labelOnly="1" outline="0" axis="axisRow" fieldPosition="0"/>
    </format>
    <format dxfId="1520">
      <pivotArea dataOnly="0" labelOnly="1" outline="0" axis="axisValues" fieldPosition="0"/>
    </format>
    <format dxfId="1519">
      <pivotArea dataOnly="0" labelOnly="1" outline="0" axis="axisValues" fieldPosition="0"/>
    </format>
    <format dxfId="1518">
      <pivotArea field="3" type="button" dataOnly="0" labelOnly="1" outline="0" axis="axisRow" fieldPosition="0"/>
    </format>
    <format dxfId="1517">
      <pivotArea dataOnly="0" labelOnly="1" outline="0" axis="axisValues" fieldPosition="0"/>
    </format>
    <format dxfId="1516">
      <pivotArea dataOnly="0" labelOnly="1" outline="0" axis="axisValues" fieldPosition="0"/>
    </format>
    <format dxfId="1515">
      <pivotArea collapsedLevelsAreSubtotals="1" fieldPosition="0">
        <references count="1">
          <reference field="3" count="0"/>
        </references>
      </pivotArea>
    </format>
    <format dxfId="1514">
      <pivotArea dataOnly="0" labelOnly="1" fieldPosition="0">
        <references count="1">
          <reference field="3" count="0"/>
        </references>
      </pivotArea>
    </format>
    <format dxfId="1513">
      <pivotArea collapsedLevelsAreSubtotals="1" fieldPosition="0">
        <references count="1">
          <reference field="3" count="0"/>
        </references>
      </pivotArea>
    </format>
    <format dxfId="1512">
      <pivotArea dataOnly="0" labelOnly="1" fieldPosition="0">
        <references count="1">
          <reference field="3" count="0"/>
        </references>
      </pivotArea>
    </format>
    <format dxfId="1511">
      <pivotArea grandRow="1" outline="0" collapsedLevelsAreSubtotals="1" fieldPosition="0"/>
    </format>
    <format dxfId="1510">
      <pivotArea dataOnly="0" labelOnly="1" grandRow="1" outline="0" fieldPosition="0"/>
    </format>
    <format dxfId="1509">
      <pivotArea grandRow="1" outline="0" collapsedLevelsAreSubtotals="1" fieldPosition="0"/>
    </format>
    <format dxfId="1508">
      <pivotArea dataOnly="0" labelOnly="1" grandRow="1" outline="0" fieldPosition="0"/>
    </format>
    <format dxfId="1507">
      <pivotArea type="all" dataOnly="0" outline="0" fieldPosition="0"/>
    </format>
    <format dxfId="1506">
      <pivotArea outline="0" collapsedLevelsAreSubtotals="1" fieldPosition="0"/>
    </format>
    <format dxfId="1505">
      <pivotArea field="3" type="button" dataOnly="0" labelOnly="1" outline="0" axis="axisRow" fieldPosition="0"/>
    </format>
    <format dxfId="1504">
      <pivotArea dataOnly="0" labelOnly="1" outline="0" axis="axisValues" fieldPosition="0"/>
    </format>
    <format dxfId="1503">
      <pivotArea dataOnly="0" labelOnly="1" fieldPosition="0">
        <references count="1">
          <reference field="3" count="0"/>
        </references>
      </pivotArea>
    </format>
    <format dxfId="1502">
      <pivotArea dataOnly="0" labelOnly="1" grandRow="1" outline="0" fieldPosition="0"/>
    </format>
    <format dxfId="1501">
      <pivotArea dataOnly="0" labelOnly="1" outline="0" axis="axisValues" fieldPosition="0"/>
    </format>
    <format dxfId="1500">
      <pivotArea type="all" dataOnly="0" outline="0" fieldPosition="0"/>
    </format>
    <format dxfId="1499">
      <pivotArea outline="0" collapsedLevelsAreSubtotals="1" fieldPosition="0"/>
    </format>
    <format dxfId="1498">
      <pivotArea field="3" type="button" dataOnly="0" labelOnly="1" outline="0" axis="axisRow" fieldPosition="0"/>
    </format>
    <format dxfId="1497">
      <pivotArea dataOnly="0" labelOnly="1" outline="0" axis="axisValues" fieldPosition="0"/>
    </format>
    <format dxfId="1496">
      <pivotArea dataOnly="0" labelOnly="1" fieldPosition="0">
        <references count="1">
          <reference field="3" count="0"/>
        </references>
      </pivotArea>
    </format>
    <format dxfId="1495">
      <pivotArea dataOnly="0" labelOnly="1" grandRow="1" outline="0" fieldPosition="0"/>
    </format>
    <format dxfId="1494">
      <pivotArea dataOnly="0" labelOnly="1" outline="0" axis="axisValues" fieldPosition="0"/>
    </format>
    <format dxfId="1493">
      <pivotArea type="all" dataOnly="0" outline="0" fieldPosition="0"/>
    </format>
    <format dxfId="1492">
      <pivotArea outline="0" collapsedLevelsAreSubtotals="1" fieldPosition="0"/>
    </format>
    <format dxfId="1491">
      <pivotArea field="3" type="button" dataOnly="0" labelOnly="1" outline="0" axis="axisRow" fieldPosition="0"/>
    </format>
    <format dxfId="1490">
      <pivotArea dataOnly="0" labelOnly="1" outline="0" axis="axisValues" fieldPosition="0"/>
    </format>
    <format dxfId="1489">
      <pivotArea dataOnly="0" labelOnly="1" fieldPosition="0">
        <references count="1">
          <reference field="3" count="0"/>
        </references>
      </pivotArea>
    </format>
    <format dxfId="1488">
      <pivotArea dataOnly="0" labelOnly="1" grandRow="1" outline="0" fieldPosition="0"/>
    </format>
    <format dxfId="1487">
      <pivotArea dataOnly="0" labelOnly="1" outline="0" axis="axisValues" fieldPosition="0"/>
    </format>
    <format dxfId="1486">
      <pivotArea type="all" dataOnly="0" outline="0" fieldPosition="0"/>
    </format>
    <format dxfId="1485">
      <pivotArea outline="0" collapsedLevelsAreSubtotals="1" fieldPosition="0"/>
    </format>
    <format dxfId="1484">
      <pivotArea field="3" type="button" dataOnly="0" labelOnly="1" outline="0" axis="axisRow" fieldPosition="0"/>
    </format>
    <format dxfId="1483">
      <pivotArea dataOnly="0" labelOnly="1" outline="0" axis="axisValues" fieldPosition="0"/>
    </format>
    <format dxfId="1482">
      <pivotArea dataOnly="0" labelOnly="1" fieldPosition="0">
        <references count="1">
          <reference field="3" count="0"/>
        </references>
      </pivotArea>
    </format>
    <format dxfId="1481">
      <pivotArea dataOnly="0" labelOnly="1" grandRow="1" outline="0" fieldPosition="0"/>
    </format>
    <format dxfId="1480">
      <pivotArea dataOnly="0" labelOnly="1" outline="0" axis="axisValues" fieldPosition="0"/>
    </format>
    <format dxfId="1479">
      <pivotArea type="all" dataOnly="0" outline="0" fieldPosition="0"/>
    </format>
    <format dxfId="1478">
      <pivotArea outline="0" collapsedLevelsAreSubtotals="1" fieldPosition="0"/>
    </format>
    <format dxfId="1477">
      <pivotArea field="3" type="button" dataOnly="0" labelOnly="1" outline="0" axis="axisRow" fieldPosition="0"/>
    </format>
    <format dxfId="1476">
      <pivotArea dataOnly="0" labelOnly="1" outline="0" axis="axisValues" fieldPosition="0"/>
    </format>
    <format dxfId="1475">
      <pivotArea dataOnly="0" labelOnly="1" fieldPosition="0">
        <references count="1">
          <reference field="3" count="0"/>
        </references>
      </pivotArea>
    </format>
    <format dxfId="1474">
      <pivotArea dataOnly="0" labelOnly="1" grandRow="1" outline="0" fieldPosition="0"/>
    </format>
    <format dxfId="1473">
      <pivotArea dataOnly="0" labelOnly="1" outline="0" axis="axisValues" fieldPosition="0"/>
    </format>
    <format dxfId="1472">
      <pivotArea type="all" dataOnly="0" outline="0" fieldPosition="0"/>
    </format>
    <format dxfId="1471">
      <pivotArea outline="0" collapsedLevelsAreSubtotals="1" fieldPosition="0"/>
    </format>
    <format dxfId="1470">
      <pivotArea field="3" type="button" dataOnly="0" labelOnly="1" outline="0" axis="axisRow" fieldPosition="0"/>
    </format>
    <format dxfId="1469">
      <pivotArea dataOnly="0" labelOnly="1" outline="0" axis="axisValues" fieldPosition="0"/>
    </format>
    <format dxfId="1468">
      <pivotArea dataOnly="0" labelOnly="1" fieldPosition="0">
        <references count="1">
          <reference field="3" count="0"/>
        </references>
      </pivotArea>
    </format>
    <format dxfId="1467">
      <pivotArea dataOnly="0" labelOnly="1" grandRow="1" outline="0" fieldPosition="0"/>
    </format>
    <format dxfId="1466">
      <pivotArea dataOnly="0" labelOnly="1" outline="0" axis="axisValues" fieldPosition="0"/>
    </format>
    <format dxfId="1465">
      <pivotArea type="all" dataOnly="0" outline="0" fieldPosition="0"/>
    </format>
    <format dxfId="1464">
      <pivotArea outline="0" collapsedLevelsAreSubtotals="1" fieldPosition="0"/>
    </format>
    <format dxfId="1463">
      <pivotArea field="3" type="button" dataOnly="0" labelOnly="1" outline="0" axis="axisRow" fieldPosition="0"/>
    </format>
    <format dxfId="1462">
      <pivotArea dataOnly="0" labelOnly="1" outline="0" axis="axisValues" fieldPosition="0"/>
    </format>
    <format dxfId="1461">
      <pivotArea dataOnly="0" labelOnly="1" fieldPosition="0">
        <references count="1">
          <reference field="3" count="0"/>
        </references>
      </pivotArea>
    </format>
    <format dxfId="1460">
      <pivotArea dataOnly="0" labelOnly="1" grandRow="1" outline="0" fieldPosition="0"/>
    </format>
    <format dxfId="1459">
      <pivotArea dataOnly="0" labelOnly="1" outline="0" axis="axisValues" fieldPosition="0"/>
    </format>
    <format dxfId="1458">
      <pivotArea type="all" dataOnly="0" outline="0" fieldPosition="0"/>
    </format>
    <format dxfId="1457">
      <pivotArea outline="0" collapsedLevelsAreSubtotals="1" fieldPosition="0"/>
    </format>
    <format dxfId="1456">
      <pivotArea field="3" type="button" dataOnly="0" labelOnly="1" outline="0" axis="axisRow" fieldPosition="0"/>
    </format>
    <format dxfId="1455">
      <pivotArea dataOnly="0" labelOnly="1" outline="0" axis="axisValues" fieldPosition="0"/>
    </format>
    <format dxfId="1454">
      <pivotArea dataOnly="0" labelOnly="1" fieldPosition="0">
        <references count="1">
          <reference field="3" count="0"/>
        </references>
      </pivotArea>
    </format>
    <format dxfId="1453">
      <pivotArea dataOnly="0" labelOnly="1" grandRow="1" outline="0" fieldPosition="0"/>
    </format>
    <format dxfId="1452">
      <pivotArea dataOnly="0" labelOnly="1" outline="0" axis="axisValues" fieldPosition="0"/>
    </format>
    <format dxfId="1451">
      <pivotArea type="all" dataOnly="0" outline="0" fieldPosition="0"/>
    </format>
    <format dxfId="1450">
      <pivotArea outline="0" collapsedLevelsAreSubtotals="1" fieldPosition="0"/>
    </format>
    <format dxfId="1449">
      <pivotArea field="3" type="button" dataOnly="0" labelOnly="1" outline="0" axis="axisRow" fieldPosition="0"/>
    </format>
    <format dxfId="1448">
      <pivotArea dataOnly="0" labelOnly="1" outline="0" axis="axisValues" fieldPosition="0"/>
    </format>
    <format dxfId="1447">
      <pivotArea dataOnly="0" labelOnly="1" fieldPosition="0">
        <references count="1">
          <reference field="3" count="0"/>
        </references>
      </pivotArea>
    </format>
    <format dxfId="1446">
      <pivotArea dataOnly="0" labelOnly="1" grandRow="1" outline="0" fieldPosition="0"/>
    </format>
    <format dxfId="1445">
      <pivotArea dataOnly="0" labelOnly="1" outline="0" axis="axisValues" fieldPosition="0"/>
    </format>
    <format dxfId="1444">
      <pivotArea type="all" dataOnly="0" outline="0" fieldPosition="0"/>
    </format>
    <format dxfId="1443">
      <pivotArea outline="0" collapsedLevelsAreSubtotals="1" fieldPosition="0"/>
    </format>
    <format dxfId="1442">
      <pivotArea field="3" type="button" dataOnly="0" labelOnly="1" outline="0" axis="axisRow" fieldPosition="0"/>
    </format>
    <format dxfId="1441">
      <pivotArea dataOnly="0" labelOnly="1" outline="0" axis="axisValues" fieldPosition="0"/>
    </format>
    <format dxfId="1440">
      <pivotArea dataOnly="0" labelOnly="1" fieldPosition="0">
        <references count="1">
          <reference field="3" count="0"/>
        </references>
      </pivotArea>
    </format>
    <format dxfId="1439">
      <pivotArea dataOnly="0" labelOnly="1" grandRow="1" outline="0" fieldPosition="0"/>
    </format>
    <format dxfId="1438">
      <pivotArea dataOnly="0" labelOnly="1" outline="0" axis="axisValues" fieldPosition="0"/>
    </format>
    <format dxfId="1437">
      <pivotArea type="all" dataOnly="0" outline="0" fieldPosition="0"/>
    </format>
    <format dxfId="1436">
      <pivotArea outline="0" collapsedLevelsAreSubtotals="1" fieldPosition="0"/>
    </format>
    <format dxfId="1435">
      <pivotArea field="3" type="button" dataOnly="0" labelOnly="1" outline="0" axis="axisRow" fieldPosition="0"/>
    </format>
    <format dxfId="1434">
      <pivotArea dataOnly="0" labelOnly="1" outline="0" axis="axisValues" fieldPosition="0"/>
    </format>
    <format dxfId="1433">
      <pivotArea dataOnly="0" labelOnly="1" fieldPosition="0">
        <references count="1">
          <reference field="3" count="0"/>
        </references>
      </pivotArea>
    </format>
    <format dxfId="1432">
      <pivotArea dataOnly="0" labelOnly="1" grandRow="1" outline="0" fieldPosition="0"/>
    </format>
    <format dxfId="1431">
      <pivotArea dataOnly="0" labelOnly="1" outline="0" axis="axisValues" fieldPosition="0"/>
    </format>
    <format dxfId="1430">
      <pivotArea type="all" dataOnly="0" outline="0" fieldPosition="0"/>
    </format>
    <format dxfId="1429">
      <pivotArea outline="0" collapsedLevelsAreSubtotals="1" fieldPosition="0"/>
    </format>
    <format dxfId="1428">
      <pivotArea field="3" type="button" dataOnly="0" labelOnly="1" outline="0" axis="axisRow" fieldPosition="0"/>
    </format>
    <format dxfId="1427">
      <pivotArea dataOnly="0" labelOnly="1" outline="0" axis="axisValues" fieldPosition="0"/>
    </format>
    <format dxfId="1426">
      <pivotArea dataOnly="0" labelOnly="1" fieldPosition="0">
        <references count="1">
          <reference field="3" count="0"/>
        </references>
      </pivotArea>
    </format>
    <format dxfId="1425">
      <pivotArea dataOnly="0" labelOnly="1" grandRow="1" outline="0" fieldPosition="0"/>
    </format>
    <format dxfId="1424">
      <pivotArea dataOnly="0" labelOnly="1" outline="0" axis="axisValues" fieldPosition="0"/>
    </format>
    <format dxfId="1423">
      <pivotArea type="all" dataOnly="0" outline="0" fieldPosition="0"/>
    </format>
    <format dxfId="1422">
      <pivotArea outline="0" collapsedLevelsAreSubtotals="1" fieldPosition="0"/>
    </format>
    <format dxfId="1421">
      <pivotArea field="3" type="button" dataOnly="0" labelOnly="1" outline="0" axis="axisRow" fieldPosition="0"/>
    </format>
    <format dxfId="1420">
      <pivotArea dataOnly="0" labelOnly="1" outline="0" axis="axisValues" fieldPosition="0"/>
    </format>
    <format dxfId="1419">
      <pivotArea dataOnly="0" labelOnly="1" fieldPosition="0">
        <references count="1">
          <reference field="3" count="0"/>
        </references>
      </pivotArea>
    </format>
    <format dxfId="1418">
      <pivotArea dataOnly="0" labelOnly="1" grandRow="1" outline="0" fieldPosition="0"/>
    </format>
    <format dxfId="1417">
      <pivotArea dataOnly="0" labelOnly="1" outline="0" axis="axisValues" fieldPosition="0"/>
    </format>
    <format dxfId="1416">
      <pivotArea type="all" dataOnly="0" outline="0" fieldPosition="0"/>
    </format>
    <format dxfId="1415">
      <pivotArea outline="0" collapsedLevelsAreSubtotals="1" fieldPosition="0"/>
    </format>
    <format dxfId="1414">
      <pivotArea field="3" type="button" dataOnly="0" labelOnly="1" outline="0" axis="axisRow" fieldPosition="0"/>
    </format>
    <format dxfId="1413">
      <pivotArea dataOnly="0" labelOnly="1" outline="0" axis="axisValues" fieldPosition="0"/>
    </format>
    <format dxfId="1412">
      <pivotArea dataOnly="0" labelOnly="1" fieldPosition="0">
        <references count="1">
          <reference field="3" count="0"/>
        </references>
      </pivotArea>
    </format>
    <format dxfId="1411">
      <pivotArea dataOnly="0" labelOnly="1" grandRow="1" outline="0" fieldPosition="0"/>
    </format>
    <format dxfId="1410">
      <pivotArea dataOnly="0" labelOnly="1" outline="0" axis="axisValues" fieldPosition="0"/>
    </format>
    <format dxfId="1409">
      <pivotArea type="all" dataOnly="0" outline="0" fieldPosition="0"/>
    </format>
    <format dxfId="1408">
      <pivotArea outline="0" collapsedLevelsAreSubtotals="1" fieldPosition="0"/>
    </format>
    <format dxfId="1407">
      <pivotArea field="3" type="button" dataOnly="0" labelOnly="1" outline="0" axis="axisRow" fieldPosition="0"/>
    </format>
    <format dxfId="1406">
      <pivotArea dataOnly="0" labelOnly="1" outline="0" axis="axisValues" fieldPosition="0"/>
    </format>
    <format dxfId="1405">
      <pivotArea dataOnly="0" labelOnly="1" fieldPosition="0">
        <references count="1">
          <reference field="3" count="0"/>
        </references>
      </pivotArea>
    </format>
    <format dxfId="1404">
      <pivotArea dataOnly="0" labelOnly="1" grandRow="1" outline="0" fieldPosition="0"/>
    </format>
    <format dxfId="1403">
      <pivotArea dataOnly="0" labelOnly="1" outline="0" axis="axisValues" fieldPosition="0"/>
    </format>
    <format dxfId="1402">
      <pivotArea type="all" dataOnly="0" outline="0" fieldPosition="0"/>
    </format>
    <format dxfId="1401">
      <pivotArea outline="0" collapsedLevelsAreSubtotals="1" fieldPosition="0"/>
    </format>
    <format dxfId="1400">
      <pivotArea field="3" type="button" dataOnly="0" labelOnly="1" outline="0" axis="axisRow" fieldPosition="0"/>
    </format>
    <format dxfId="1399">
      <pivotArea dataOnly="0" labelOnly="1" outline="0" axis="axisValues" fieldPosition="0"/>
    </format>
    <format dxfId="1398">
      <pivotArea dataOnly="0" labelOnly="1" fieldPosition="0">
        <references count="1">
          <reference field="3" count="0"/>
        </references>
      </pivotArea>
    </format>
    <format dxfId="1397">
      <pivotArea dataOnly="0" labelOnly="1" grandRow="1" outline="0" fieldPosition="0"/>
    </format>
    <format dxfId="1396">
      <pivotArea dataOnly="0" labelOnly="1" outline="0" axis="axisValues" fieldPosition="0"/>
    </format>
    <format dxfId="1395">
      <pivotArea type="all" dataOnly="0" outline="0" fieldPosition="0"/>
    </format>
    <format dxfId="1394">
      <pivotArea outline="0" collapsedLevelsAreSubtotals="1" fieldPosition="0"/>
    </format>
    <format dxfId="1393">
      <pivotArea field="3" type="button" dataOnly="0" labelOnly="1" outline="0" axis="axisRow" fieldPosition="0"/>
    </format>
    <format dxfId="1392">
      <pivotArea dataOnly="0" labelOnly="1" outline="0" axis="axisValues" fieldPosition="0"/>
    </format>
    <format dxfId="1391">
      <pivotArea dataOnly="0" labelOnly="1" fieldPosition="0">
        <references count="1">
          <reference field="3" count="0"/>
        </references>
      </pivotArea>
    </format>
    <format dxfId="1390">
      <pivotArea dataOnly="0" labelOnly="1" grandRow="1" outline="0" fieldPosition="0"/>
    </format>
    <format dxfId="1389">
      <pivotArea dataOnly="0" labelOnly="1" outline="0" axis="axisValues" fieldPosition="0"/>
    </format>
    <format dxfId="1388">
      <pivotArea type="all" dataOnly="0" outline="0" fieldPosition="0"/>
    </format>
    <format dxfId="1387">
      <pivotArea outline="0" collapsedLevelsAreSubtotals="1" fieldPosition="0"/>
    </format>
    <format dxfId="1386">
      <pivotArea field="3" type="button" dataOnly="0" labelOnly="1" outline="0" axis="axisRow" fieldPosition="0"/>
    </format>
    <format dxfId="1385">
      <pivotArea dataOnly="0" labelOnly="1" outline="0" axis="axisValues" fieldPosition="0"/>
    </format>
    <format dxfId="1384">
      <pivotArea dataOnly="0" labelOnly="1" fieldPosition="0">
        <references count="1">
          <reference field="3" count="0"/>
        </references>
      </pivotArea>
    </format>
    <format dxfId="1383">
      <pivotArea dataOnly="0" labelOnly="1" grandRow="1" outline="0" fieldPosition="0"/>
    </format>
    <format dxfId="1382">
      <pivotArea dataOnly="0" labelOnly="1" outline="0" axis="axisValues" fieldPosition="0"/>
    </format>
    <format dxfId="1381">
      <pivotArea collapsedLevelsAreSubtotals="1" fieldPosition="0">
        <references count="1">
          <reference field="3" count="1">
            <x v="0"/>
          </reference>
        </references>
      </pivotArea>
    </format>
    <format dxfId="1380">
      <pivotArea collapsedLevelsAreSubtotals="1" fieldPosition="0">
        <references count="1">
          <reference field="3" count="1">
            <x v="1"/>
          </reference>
        </references>
      </pivotArea>
    </format>
    <format dxfId="1379">
      <pivotArea collapsedLevelsAreSubtotals="1" fieldPosition="0">
        <references count="1">
          <reference field="3" count="1">
            <x v="2"/>
          </reference>
        </references>
      </pivotArea>
    </format>
    <format dxfId="1378">
      <pivotArea collapsedLevelsAreSubtotals="1" fieldPosition="0">
        <references count="1">
          <reference field="3" count="1">
            <x v="3"/>
          </reference>
        </references>
      </pivotArea>
    </format>
    <format dxfId="1377">
      <pivotArea collapsedLevelsAreSubtotals="1" fieldPosition="0">
        <references count="1">
          <reference field="3" count="1">
            <x v="4"/>
          </reference>
        </references>
      </pivotArea>
    </format>
    <format dxfId="1376">
      <pivotArea collapsedLevelsAreSubtotals="1" fieldPosition="0">
        <references count="1">
          <reference field="3" count="1">
            <x v="5"/>
          </reference>
        </references>
      </pivotArea>
    </format>
    <format dxfId="1375">
      <pivotArea grandRow="1" outline="0" collapsedLevelsAreSubtotals="1" fieldPosition="0"/>
    </format>
    <format dxfId="1374">
      <pivotArea field="3" type="button" dataOnly="0" labelOnly="1" outline="0" axis="axisRow" fieldPosition="0"/>
    </format>
    <format dxfId="1373">
      <pivotArea dataOnly="0" labelOnly="1" outline="0" axis="axisValues" fieldPosition="0"/>
    </format>
    <format dxfId="1372">
      <pivotArea dataOnly="0" labelOnly="1" outline="0" axis="axisValues" fieldPosition="0"/>
    </format>
    <format dxfId="1371">
      <pivotArea field="3" type="button" dataOnly="0" labelOnly="1" outline="0" axis="axisRow" fieldPosition="0"/>
    </format>
    <format dxfId="1370">
      <pivotArea dataOnly="0" labelOnly="1" outline="0" axis="axisValues" fieldPosition="0"/>
    </format>
    <format dxfId="1369">
      <pivotArea dataOnly="0" labelOnly="1" outline="0" axis="axisValues" fieldPosition="0"/>
    </format>
    <format dxfId="1368">
      <pivotArea field="3" type="button" dataOnly="0" labelOnly="1" outline="0" axis="axisRow" fieldPosition="0"/>
    </format>
    <format dxfId="1367">
      <pivotArea dataOnly="0" labelOnly="1" outline="0" axis="axisValues" fieldPosition="0"/>
    </format>
    <format dxfId="1366">
      <pivotArea dataOnly="0" labelOnly="1" outline="0" axis="axisValues" fieldPosition="0"/>
    </format>
    <format dxfId="1365">
      <pivotArea field="3" type="button" dataOnly="0" labelOnly="1" outline="0" axis="axisRow" fieldPosition="0"/>
    </format>
    <format dxfId="1364">
      <pivotArea dataOnly="0" labelOnly="1" outline="0" axis="axisValues" fieldPosition="0"/>
    </format>
    <format dxfId="1363">
      <pivotArea dataOnly="0" labelOnly="1" outline="0" axis="axisValues" fieldPosition="0"/>
    </format>
    <format dxfId="1362">
      <pivotArea field="3" type="button" dataOnly="0" labelOnly="1" outline="0" axis="axisRow" fieldPosition="0"/>
    </format>
    <format dxfId="1361">
      <pivotArea dataOnly="0" labelOnly="1" outline="0" axis="axisValues" fieldPosition="0"/>
    </format>
    <format dxfId="1360">
      <pivotArea dataOnly="0" labelOnly="1" outline="0" axis="axisValues" fieldPosition="0"/>
    </format>
    <format dxfId="1359">
      <pivotArea field="3" type="button" dataOnly="0" labelOnly="1" outline="0" axis="axisRow" fieldPosition="0"/>
    </format>
    <format dxfId="1358">
      <pivotArea dataOnly="0" labelOnly="1" outline="0" axis="axisValues" fieldPosition="0"/>
    </format>
    <format dxfId="1357">
      <pivotArea dataOnly="0" labelOnly="1" outline="0" axis="axisValues" fieldPosition="0"/>
    </format>
    <format dxfId="1356">
      <pivotArea field="3" type="button" dataOnly="0" labelOnly="1" outline="0" axis="axisRow" fieldPosition="0"/>
    </format>
    <format dxfId="1355">
      <pivotArea dataOnly="0" labelOnly="1" outline="0" axis="axisValues" fieldPosition="0"/>
    </format>
    <format dxfId="1354">
      <pivotArea dataOnly="0" labelOnly="1" outline="0" axis="axisValues" fieldPosition="0"/>
    </format>
    <format dxfId="1353">
      <pivotArea field="3" type="button" dataOnly="0" labelOnly="1" outline="0" axis="axisRow" fieldPosition="0"/>
    </format>
    <format dxfId="1352">
      <pivotArea dataOnly="0" labelOnly="1" outline="0" axis="axisValues" fieldPosition="0"/>
    </format>
    <format dxfId="1351">
      <pivotArea dataOnly="0" labelOnly="1" outline="0" axis="axisValues" fieldPosition="0"/>
    </format>
    <format dxfId="1350">
      <pivotArea field="3" type="button" dataOnly="0" labelOnly="1" outline="0" axis="axisRow" fieldPosition="0"/>
    </format>
    <format dxfId="1349">
      <pivotArea dataOnly="0" labelOnly="1" outline="0" axis="axisValues" fieldPosition="0"/>
    </format>
    <format dxfId="1348">
      <pivotArea dataOnly="0" labelOnly="1" outline="0" axis="axisValues" fieldPosition="0"/>
    </format>
    <format dxfId="1347">
      <pivotArea field="3" type="button" dataOnly="0" labelOnly="1" outline="0" axis="axisRow" fieldPosition="0"/>
    </format>
    <format dxfId="1346">
      <pivotArea dataOnly="0" labelOnly="1" outline="0" axis="axisValues" fieldPosition="0"/>
    </format>
    <format dxfId="1345">
      <pivotArea dataOnly="0" labelOnly="1" outline="0" axis="axisValues" fieldPosition="0"/>
    </format>
    <format dxfId="1344">
      <pivotArea field="3" type="button" dataOnly="0" labelOnly="1" outline="0" axis="axisRow" fieldPosition="0"/>
    </format>
    <format dxfId="1343">
      <pivotArea dataOnly="0" labelOnly="1" outline="0" axis="axisValues" fieldPosition="0"/>
    </format>
    <format dxfId="1342">
      <pivotArea dataOnly="0" labelOnly="1" outline="0" axis="axisValues" fieldPosition="0"/>
    </format>
    <format dxfId="1341">
      <pivotArea field="3" type="button" dataOnly="0" labelOnly="1" outline="0" axis="axisRow" fieldPosition="0"/>
    </format>
    <format dxfId="1340">
      <pivotArea dataOnly="0" labelOnly="1" outline="0" axis="axisValues" fieldPosition="0"/>
    </format>
    <format dxfId="1339">
      <pivotArea dataOnly="0" labelOnly="1" outline="0" axis="axisValues" fieldPosition="0"/>
    </format>
    <format dxfId="1338">
      <pivotArea field="3" type="button" dataOnly="0" labelOnly="1" outline="0" axis="axisRow" fieldPosition="0"/>
    </format>
    <format dxfId="1337">
      <pivotArea dataOnly="0" labelOnly="1" outline="0" axis="axisValues" fieldPosition="0"/>
    </format>
    <format dxfId="1336">
      <pivotArea dataOnly="0" labelOnly="1" outline="0" axis="axisValues" fieldPosition="0"/>
    </format>
    <format dxfId="1335">
      <pivotArea field="3" type="button" dataOnly="0" labelOnly="1" outline="0" axis="axisRow" fieldPosition="0"/>
    </format>
    <format dxfId="1334">
      <pivotArea dataOnly="0" labelOnly="1" outline="0" axis="axisValues" fieldPosition="0"/>
    </format>
    <format dxfId="1333">
      <pivotArea dataOnly="0" labelOnly="1" outline="0" axis="axisValues" fieldPosition="0"/>
    </format>
    <format dxfId="1332">
      <pivotArea field="3" type="button" dataOnly="0" labelOnly="1" outline="0" axis="axisRow" fieldPosition="0"/>
    </format>
    <format dxfId="1331">
      <pivotArea dataOnly="0" labelOnly="1" outline="0" axis="axisValues" fieldPosition="0"/>
    </format>
    <format dxfId="1330">
      <pivotArea dataOnly="0" labelOnly="1" outline="0" axis="axisValues" fieldPosition="0"/>
    </format>
    <format dxfId="1329">
      <pivotArea field="3" type="button" dataOnly="0" labelOnly="1" outline="0" axis="axisRow" fieldPosition="0"/>
    </format>
    <format dxfId="1328">
      <pivotArea dataOnly="0" labelOnly="1" outline="0" axis="axisValues" fieldPosition="0"/>
    </format>
    <format dxfId="1327">
      <pivotArea dataOnly="0" labelOnly="1" outline="0" axis="axisValues" fieldPosition="0"/>
    </format>
    <format dxfId="1326">
      <pivotArea field="3" type="button" dataOnly="0" labelOnly="1" outline="0" axis="axisRow" fieldPosition="0"/>
    </format>
    <format dxfId="1325">
      <pivotArea dataOnly="0" labelOnly="1" outline="0" axis="axisValues" fieldPosition="0"/>
    </format>
    <format dxfId="1324">
      <pivotArea dataOnly="0" labelOnly="1" outline="0" axis="axisValues" fieldPosition="0"/>
    </format>
    <format dxfId="1323">
      <pivotArea field="3" type="button" dataOnly="0" labelOnly="1" outline="0" axis="axisRow" fieldPosition="0"/>
    </format>
    <format dxfId="1322">
      <pivotArea dataOnly="0" labelOnly="1" outline="0" axis="axisValues" fieldPosition="0"/>
    </format>
    <format dxfId="1321">
      <pivotArea dataOnly="0" labelOnly="1" outline="0" axis="axisValues" fieldPosition="0"/>
    </format>
    <format dxfId="1320">
      <pivotArea field="3" type="button" dataOnly="0" labelOnly="1" outline="0" axis="axisRow" fieldPosition="0"/>
    </format>
    <format dxfId="1319">
      <pivotArea dataOnly="0" labelOnly="1" outline="0" axis="axisValues" fieldPosition="0"/>
    </format>
    <format dxfId="1318">
      <pivotArea dataOnly="0" labelOnly="1" outline="0" axis="axisValues" fieldPosition="0"/>
    </format>
    <format dxfId="1317">
      <pivotArea field="3" type="button" dataOnly="0" labelOnly="1" outline="0" axis="axisRow" fieldPosition="0"/>
    </format>
    <format dxfId="1316">
      <pivotArea dataOnly="0" labelOnly="1" outline="0" axis="axisValues" fieldPosition="0"/>
    </format>
    <format dxfId="1315">
      <pivotArea dataOnly="0" labelOnly="1" outline="0" axis="axisValues" fieldPosition="0"/>
    </format>
    <format dxfId="1314">
      <pivotArea field="3" type="button" dataOnly="0" labelOnly="1" outline="0" axis="axisRow" fieldPosition="0"/>
    </format>
    <format dxfId="1313">
      <pivotArea dataOnly="0" labelOnly="1" outline="0" axis="axisValues" fieldPosition="0"/>
    </format>
    <format dxfId="1312">
      <pivotArea dataOnly="0" labelOnly="1" outline="0" axis="axisValues" fieldPosition="0"/>
    </format>
    <format dxfId="1311">
      <pivotArea field="3" type="button" dataOnly="0" labelOnly="1" outline="0" axis="axisRow" fieldPosition="0"/>
    </format>
    <format dxfId="1310">
      <pivotArea dataOnly="0" labelOnly="1" outline="0" axis="axisValues" fieldPosition="0"/>
    </format>
    <format dxfId="1309">
      <pivotArea dataOnly="0" labelOnly="1" outline="0" axis="axisValues" fieldPosition="0"/>
    </format>
    <format dxfId="1308">
      <pivotArea collapsedLevelsAreSubtotals="1" fieldPosition="0">
        <references count="1">
          <reference field="3" count="0"/>
        </references>
      </pivotArea>
    </format>
    <format dxfId="1307">
      <pivotArea dataOnly="0" labelOnly="1" fieldPosition="0">
        <references count="1">
          <reference field="3" count="0"/>
        </references>
      </pivotArea>
    </format>
    <format dxfId="1306">
      <pivotArea collapsedLevelsAreSubtotals="1" fieldPosition="0">
        <references count="1">
          <reference field="3" count="0"/>
        </references>
      </pivotArea>
    </format>
    <format dxfId="1305">
      <pivotArea dataOnly="0" labelOnly="1" fieldPosition="0">
        <references count="1">
          <reference field="3" count="0"/>
        </references>
      </pivotArea>
    </format>
    <format dxfId="1304">
      <pivotArea collapsedLevelsAreSubtotals="1" fieldPosition="0">
        <references count="1">
          <reference field="3" count="0"/>
        </references>
      </pivotArea>
    </format>
    <format dxfId="1303">
      <pivotArea dataOnly="0" labelOnly="1" fieldPosition="0">
        <references count="1">
          <reference field="3" count="0"/>
        </references>
      </pivotArea>
    </format>
    <format dxfId="1302">
      <pivotArea collapsedLevelsAreSubtotals="1" fieldPosition="0">
        <references count="1">
          <reference field="3" count="0"/>
        </references>
      </pivotArea>
    </format>
    <format dxfId="1301">
      <pivotArea dataOnly="0" labelOnly="1" fieldPosition="0">
        <references count="1">
          <reference field="3" count="0"/>
        </references>
      </pivotArea>
    </format>
    <format dxfId="1300">
      <pivotArea collapsedLevelsAreSubtotals="1" fieldPosition="0">
        <references count="1">
          <reference field="3" count="0"/>
        </references>
      </pivotArea>
    </format>
    <format dxfId="1299">
      <pivotArea dataOnly="0" labelOnly="1" fieldPosition="0">
        <references count="1">
          <reference field="3" count="0"/>
        </references>
      </pivotArea>
    </format>
    <format dxfId="1298">
      <pivotArea collapsedLevelsAreSubtotals="1" fieldPosition="0">
        <references count="1">
          <reference field="3" count="0"/>
        </references>
      </pivotArea>
    </format>
    <format dxfId="1297">
      <pivotArea dataOnly="0" labelOnly="1" fieldPosition="0">
        <references count="1">
          <reference field="3" count="0"/>
        </references>
      </pivotArea>
    </format>
    <format dxfId="1296">
      <pivotArea collapsedLevelsAreSubtotals="1" fieldPosition="0">
        <references count="1">
          <reference field="3" count="0"/>
        </references>
      </pivotArea>
    </format>
    <format dxfId="1295">
      <pivotArea dataOnly="0" labelOnly="1" fieldPosition="0">
        <references count="1">
          <reference field="3" count="0"/>
        </references>
      </pivotArea>
    </format>
    <format dxfId="1294">
      <pivotArea collapsedLevelsAreSubtotals="1" fieldPosition="0">
        <references count="1">
          <reference field="3" count="0"/>
        </references>
      </pivotArea>
    </format>
    <format dxfId="1293">
      <pivotArea dataOnly="0" labelOnly="1" fieldPosition="0">
        <references count="1">
          <reference field="3" count="0"/>
        </references>
      </pivotArea>
    </format>
    <format dxfId="1292">
      <pivotArea collapsedLevelsAreSubtotals="1" fieldPosition="0">
        <references count="1">
          <reference field="3" count="0"/>
        </references>
      </pivotArea>
    </format>
    <format dxfId="1291">
      <pivotArea dataOnly="0" labelOnly="1" fieldPosition="0">
        <references count="1">
          <reference field="3" count="0"/>
        </references>
      </pivotArea>
    </format>
    <format dxfId="1290">
      <pivotArea dataOnly="0" labelOnly="1" fieldPosition="0">
        <references count="1">
          <reference field="3" count="1">
            <x v="0"/>
          </reference>
        </references>
      </pivotArea>
    </format>
    <format dxfId="1289">
      <pivotArea collapsedLevelsAreSubtotals="1" fieldPosition="0">
        <references count="1">
          <reference field="3" count="1">
            <x v="0"/>
          </reference>
        </references>
      </pivotArea>
    </format>
    <format dxfId="1288">
      <pivotArea dataOnly="0" labelOnly="1" fieldPosition="0">
        <references count="1">
          <reference field="3" count="1">
            <x v="1"/>
          </reference>
        </references>
      </pivotArea>
    </format>
    <format dxfId="1287">
      <pivotArea collapsedLevelsAreSubtotals="1" fieldPosition="0">
        <references count="1">
          <reference field="3" count="1">
            <x v="1"/>
          </reference>
        </references>
      </pivotArea>
    </format>
    <format dxfId="1286">
      <pivotArea dataOnly="0" labelOnly="1" fieldPosition="0">
        <references count="1">
          <reference field="3" count="1">
            <x v="2"/>
          </reference>
        </references>
      </pivotArea>
    </format>
    <format dxfId="1285">
      <pivotArea collapsedLevelsAreSubtotals="1" fieldPosition="0">
        <references count="1">
          <reference field="3" count="1">
            <x v="2"/>
          </reference>
        </references>
      </pivotArea>
    </format>
    <format dxfId="1284">
      <pivotArea dataOnly="0" labelOnly="1" fieldPosition="0">
        <references count="1">
          <reference field="3" count="1">
            <x v="3"/>
          </reference>
        </references>
      </pivotArea>
    </format>
    <format dxfId="1283">
      <pivotArea collapsedLevelsAreSubtotals="1" fieldPosition="0">
        <references count="1">
          <reference field="3" count="1">
            <x v="3"/>
          </reference>
        </references>
      </pivotArea>
    </format>
    <format dxfId="1282">
      <pivotArea dataOnly="0" labelOnly="1" fieldPosition="0">
        <references count="1">
          <reference field="3" count="1">
            <x v="4"/>
          </reference>
        </references>
      </pivotArea>
    </format>
    <format dxfId="1281">
      <pivotArea collapsedLevelsAreSubtotals="1" fieldPosition="0">
        <references count="1">
          <reference field="3" count="1">
            <x v="4"/>
          </reference>
        </references>
      </pivotArea>
    </format>
    <format dxfId="1280">
      <pivotArea dataOnly="0" labelOnly="1" fieldPosition="0">
        <references count="1">
          <reference field="3" count="1">
            <x v="5"/>
          </reference>
        </references>
      </pivotArea>
    </format>
    <format dxfId="1279">
      <pivotArea collapsedLevelsAreSubtotals="1" fieldPosition="0">
        <references count="1">
          <reference field="3" count="1">
            <x v="5"/>
          </reference>
        </references>
      </pivotArea>
    </format>
    <format dxfId="1278">
      <pivotArea collapsedLevelsAreSubtotals="1" fieldPosition="0">
        <references count="1">
          <reference field="3" count="0"/>
        </references>
      </pivotArea>
    </format>
    <format dxfId="1277">
      <pivotArea dataOnly="0" labelOnly="1" fieldPosition="0">
        <references count="1">
          <reference field="3" count="0"/>
        </references>
      </pivotArea>
    </format>
    <format dxfId="1276">
      <pivotArea collapsedLevelsAreSubtotals="1" fieldPosition="0">
        <references count="1">
          <reference field="3" count="0"/>
        </references>
      </pivotArea>
    </format>
    <format dxfId="1275">
      <pivotArea dataOnly="0" labelOnly="1" fieldPosition="0">
        <references count="1">
          <reference field="3" count="0"/>
        </references>
      </pivotArea>
    </format>
    <format dxfId="1274">
      <pivotArea collapsedLevelsAreSubtotals="1" fieldPosition="0">
        <references count="1">
          <reference field="3" count="0"/>
        </references>
      </pivotArea>
    </format>
    <format dxfId="1273">
      <pivotArea dataOnly="0" labelOnly="1" fieldPosition="0">
        <references count="1">
          <reference field="3" count="0"/>
        </references>
      </pivotArea>
    </format>
    <format dxfId="1272">
      <pivotArea collapsedLevelsAreSubtotals="1" fieldPosition="0">
        <references count="1">
          <reference field="3" count="0"/>
        </references>
      </pivotArea>
    </format>
    <format dxfId="1271">
      <pivotArea dataOnly="0" labelOnly="1" fieldPosition="0">
        <references count="1">
          <reference field="3" count="0"/>
        </references>
      </pivotArea>
    </format>
    <format dxfId="1270">
      <pivotArea collapsedLevelsAreSubtotals="1" fieldPosition="0">
        <references count="1">
          <reference field="3" count="0"/>
        </references>
      </pivotArea>
    </format>
    <format dxfId="1269">
      <pivotArea dataOnly="0" labelOnly="1" fieldPosition="0">
        <references count="1">
          <reference field="3" count="0"/>
        </references>
      </pivotArea>
    </format>
    <format dxfId="1268">
      <pivotArea collapsedLevelsAreSubtotals="1" fieldPosition="0">
        <references count="1">
          <reference field="3" count="0"/>
        </references>
      </pivotArea>
    </format>
    <format dxfId="1267">
      <pivotArea dataOnly="0" labelOnly="1" fieldPosition="0">
        <references count="1">
          <reference field="3" count="0"/>
        </references>
      </pivotArea>
    </format>
    <format dxfId="1266">
      <pivotArea collapsedLevelsAreSubtotals="1" fieldPosition="0">
        <references count="1">
          <reference field="3" count="0"/>
        </references>
      </pivotArea>
    </format>
    <format dxfId="1265">
      <pivotArea dataOnly="0" labelOnly="1" fieldPosition="0">
        <references count="1">
          <reference field="3" count="0"/>
        </references>
      </pivotArea>
    </format>
    <format dxfId="1264">
      <pivotArea collapsedLevelsAreSubtotals="1" fieldPosition="0">
        <references count="1">
          <reference field="3" count="0"/>
        </references>
      </pivotArea>
    </format>
    <format dxfId="1263">
      <pivotArea dataOnly="0" labelOnly="1" fieldPosition="0">
        <references count="1">
          <reference field="3" count="0"/>
        </references>
      </pivotArea>
    </format>
    <format dxfId="1262">
      <pivotArea collapsedLevelsAreSubtotals="1" fieldPosition="0">
        <references count="1">
          <reference field="3" count="0"/>
        </references>
      </pivotArea>
    </format>
    <format dxfId="1261">
      <pivotArea dataOnly="0" labelOnly="1" fieldPosition="0">
        <references count="1">
          <reference field="3" count="0"/>
        </references>
      </pivotArea>
    </format>
    <format dxfId="1260">
      <pivotArea collapsedLevelsAreSubtotals="1" fieldPosition="0">
        <references count="1">
          <reference field="3" count="0"/>
        </references>
      </pivotArea>
    </format>
    <format dxfId="1259">
      <pivotArea dataOnly="0" labelOnly="1" fieldPosition="0">
        <references count="1">
          <reference field="3" count="0"/>
        </references>
      </pivotArea>
    </format>
    <format dxfId="1258">
      <pivotArea collapsedLevelsAreSubtotals="1" fieldPosition="0">
        <references count="1">
          <reference field="3" count="0"/>
        </references>
      </pivotArea>
    </format>
    <format dxfId="1257">
      <pivotArea dataOnly="0" labelOnly="1" fieldPosition="0">
        <references count="1">
          <reference field="3" count="0"/>
        </references>
      </pivotArea>
    </format>
    <format dxfId="1256">
      <pivotArea collapsedLevelsAreSubtotals="1" fieldPosition="0">
        <references count="1">
          <reference field="3" count="0"/>
        </references>
      </pivotArea>
    </format>
    <format dxfId="1255">
      <pivotArea dataOnly="0" labelOnly="1" fieldPosition="0">
        <references count="1">
          <reference field="3" count="0"/>
        </references>
      </pivotArea>
    </format>
    <format dxfId="1254">
      <pivotArea grandRow="1" outline="0" collapsedLevelsAreSubtotals="1" fieldPosition="0"/>
    </format>
    <format dxfId="1253">
      <pivotArea dataOnly="0" labelOnly="1" grandRow="1" outline="0" fieldPosition="0"/>
    </format>
    <format dxfId="1252">
      <pivotArea grandRow="1" outline="0" collapsedLevelsAreSubtotals="1" fieldPosition="0"/>
    </format>
    <format dxfId="1251">
      <pivotArea dataOnly="0" labelOnly="1" grandRow="1" outline="0" fieldPosition="0"/>
    </format>
    <format dxfId="1250">
      <pivotArea grandRow="1" outline="0" collapsedLevelsAreSubtotals="1" fieldPosition="0"/>
    </format>
    <format dxfId="1249">
      <pivotArea dataOnly="0" labelOnly="1" grandRow="1" outline="0" fieldPosition="0"/>
    </format>
    <format dxfId="1248">
      <pivotArea grandRow="1" outline="0" collapsedLevelsAreSubtotals="1" fieldPosition="0"/>
    </format>
    <format dxfId="1247">
      <pivotArea dataOnly="0" labelOnly="1" grandRow="1" outline="0" fieldPosition="0"/>
    </format>
    <format dxfId="1246">
      <pivotArea grandRow="1" outline="0" collapsedLevelsAreSubtotals="1" fieldPosition="0"/>
    </format>
    <format dxfId="1245">
      <pivotArea dataOnly="0" labelOnly="1" grandRow="1" outline="0" fieldPosition="0"/>
    </format>
    <format dxfId="1244">
      <pivotArea grandRow="1" outline="0" collapsedLevelsAreSubtotals="1" fieldPosition="0"/>
    </format>
    <format dxfId="1243">
      <pivotArea dataOnly="0" labelOnly="1" grandRow="1" outline="0" fieldPosition="0"/>
    </format>
    <format dxfId="1242">
      <pivotArea grandRow="1" outline="0" collapsedLevelsAreSubtotals="1" fieldPosition="0"/>
    </format>
    <format dxfId="1241">
      <pivotArea dataOnly="0" labelOnly="1" grandRow="1" outline="0" fieldPosition="0"/>
    </format>
    <format dxfId="1240">
      <pivotArea grandRow="1" outline="0" collapsedLevelsAreSubtotals="1" fieldPosition="0"/>
    </format>
    <format dxfId="1239">
      <pivotArea dataOnly="0" labelOnly="1" grandRow="1" outline="0" fieldPosition="0"/>
    </format>
    <format dxfId="1238">
      <pivotArea grandRow="1" outline="0" collapsedLevelsAreSubtotals="1" fieldPosition="0"/>
    </format>
    <format dxfId="1237">
      <pivotArea dataOnly="0" labelOnly="1" grandRow="1" outline="0" fieldPosition="0"/>
    </format>
    <format dxfId="1236">
      <pivotArea dataOnly="0" labelOnly="1" grandRow="1" outline="0" fieldPosition="0"/>
    </format>
    <format dxfId="1235">
      <pivotArea grandRow="1" outline="0" collapsedLevelsAreSubtotals="1" fieldPosition="0"/>
    </format>
    <format dxfId="1234">
      <pivotArea grandRow="1" outline="0" collapsedLevelsAreSubtotals="1" fieldPosition="0"/>
    </format>
    <format dxfId="1233">
      <pivotArea dataOnly="0" labelOnly="1" grandRow="1" outline="0" fieldPosition="0"/>
    </format>
    <format dxfId="1232">
      <pivotArea grandRow="1" outline="0" collapsedLevelsAreSubtotals="1" fieldPosition="0"/>
    </format>
    <format dxfId="1231">
      <pivotArea dataOnly="0" labelOnly="1" grandRow="1" outline="0" fieldPosition="0"/>
    </format>
    <format dxfId="1230">
      <pivotArea grandRow="1" outline="0" collapsedLevelsAreSubtotals="1" fieldPosition="0"/>
    </format>
    <format dxfId="1229">
      <pivotArea dataOnly="0" labelOnly="1" grandRow="1" outline="0" fieldPosition="0"/>
    </format>
    <format dxfId="1228">
      <pivotArea grandRow="1" outline="0" collapsedLevelsAreSubtotals="1" fieldPosition="0"/>
    </format>
    <format dxfId="1227">
      <pivotArea dataOnly="0" labelOnly="1" grandRow="1" outline="0" fieldPosition="0"/>
    </format>
    <format dxfId="1226">
      <pivotArea grandRow="1" outline="0" collapsedLevelsAreSubtotals="1" fieldPosition="0"/>
    </format>
    <format dxfId="1225">
      <pivotArea dataOnly="0" labelOnly="1" grandRow="1" outline="0" fieldPosition="0"/>
    </format>
    <format dxfId="1224">
      <pivotArea grandRow="1" outline="0" collapsedLevelsAreSubtotals="1" fieldPosition="0"/>
    </format>
    <format dxfId="1223">
      <pivotArea dataOnly="0" labelOnly="1" grandRow="1" outline="0" fieldPosition="0"/>
    </format>
    <format dxfId="1222">
      <pivotArea grandRow="1" outline="0" collapsedLevelsAreSubtotals="1" fieldPosition="0"/>
    </format>
    <format dxfId="1221">
      <pivotArea dataOnly="0" labelOnly="1" grandRow="1" outline="0" fieldPosition="0"/>
    </format>
    <format dxfId="1220">
      <pivotArea grandRow="1" outline="0" collapsedLevelsAreSubtotals="1" fieldPosition="0"/>
    </format>
    <format dxfId="1219">
      <pivotArea dataOnly="0" labelOnly="1" grandRow="1" outline="0" fieldPosition="0"/>
    </format>
    <format dxfId="1218">
      <pivotArea grandRow="1" outline="0" collapsedLevelsAreSubtotals="1" fieldPosition="0"/>
    </format>
    <format dxfId="1217">
      <pivotArea dataOnly="0" labelOnly="1" grandRow="1" outline="0" fieldPosition="0"/>
    </format>
    <format dxfId="1216">
      <pivotArea grandRow="1" outline="0" collapsedLevelsAreSubtotals="1" fieldPosition="0"/>
    </format>
    <format dxfId="1215">
      <pivotArea dataOnly="0" labelOnly="1" grandRow="1" outline="0" fieldPosition="0"/>
    </format>
    <format dxfId="1214">
      <pivotArea grandRow="1" outline="0" collapsedLevelsAreSubtotals="1" fieldPosition="0"/>
    </format>
    <format dxfId="1213">
      <pivotArea dataOnly="0" labelOnly="1" grandRow="1" outline="0" fieldPosition="0"/>
    </format>
    <format dxfId="1212">
      <pivotArea grandRow="1" outline="0" collapsedLevelsAreSubtotals="1" fieldPosition="0"/>
    </format>
    <format dxfId="1211">
      <pivotArea dataOnly="0" labelOnly="1" grandRow="1" outline="0" fieldPosition="0"/>
    </format>
    <format dxfId="1210">
      <pivotArea outline="0" collapsedLevelsAreSubtotals="1" fieldPosition="0"/>
    </format>
    <format dxfId="1209">
      <pivotArea outline="0" collapsedLevelsAreSubtotals="1" fieldPosition="0"/>
    </format>
    <format dxfId="1208">
      <pivotArea outline="0" collapsedLevelsAreSubtotals="1" fieldPosition="0"/>
    </format>
    <format dxfId="1207">
      <pivotArea outline="0" collapsedLevelsAreSubtotals="1" fieldPosition="0"/>
    </format>
    <format dxfId="1206">
      <pivotArea outline="0" collapsedLevelsAreSubtotals="1" fieldPosition="0"/>
    </format>
    <format dxfId="1205">
      <pivotArea outline="0" collapsedLevelsAreSubtotals="1" fieldPosition="0"/>
    </format>
    <format dxfId="1204">
      <pivotArea outline="0" collapsedLevelsAreSubtotals="1" fieldPosition="0"/>
    </format>
    <format dxfId="1203">
      <pivotArea outline="0" collapsedLevelsAreSubtotals="1" fieldPosition="0"/>
    </format>
    <format dxfId="1202">
      <pivotArea outline="0" collapsedLevelsAreSubtotals="1" fieldPosition="0"/>
    </format>
    <format dxfId="1201">
      <pivotArea collapsedLevelsAreSubtotals="1" fieldPosition="0">
        <references count="1">
          <reference field="3" count="1">
            <x v="0"/>
          </reference>
        </references>
      </pivotArea>
    </format>
    <format dxfId="1200">
      <pivotArea collapsedLevelsAreSubtotals="1" fieldPosition="0">
        <references count="1">
          <reference field="3" count="1">
            <x v="1"/>
          </reference>
        </references>
      </pivotArea>
    </format>
    <format dxfId="1199">
      <pivotArea collapsedLevelsAreSubtotals="1" fieldPosition="0">
        <references count="1">
          <reference field="3" count="1">
            <x v="2"/>
          </reference>
        </references>
      </pivotArea>
    </format>
    <format dxfId="1198">
      <pivotArea collapsedLevelsAreSubtotals="1" fieldPosition="0">
        <references count="1">
          <reference field="3" count="1">
            <x v="3"/>
          </reference>
        </references>
      </pivotArea>
    </format>
    <format dxfId="1197">
      <pivotArea collapsedLevelsAreSubtotals="1" fieldPosition="0">
        <references count="1">
          <reference field="3" count="1">
            <x v="4"/>
          </reference>
        </references>
      </pivotArea>
    </format>
    <format dxfId="1196">
      <pivotArea collapsedLevelsAreSubtotals="1" fieldPosition="0">
        <references count="1">
          <reference field="3" count="1">
            <x v="5"/>
          </reference>
        </references>
      </pivotArea>
    </format>
    <format dxfId="1195">
      <pivotArea grandRow="1" outline="0" collapsedLevelsAreSubtotals="1" fieldPosition="0"/>
    </format>
    <format dxfId="1194">
      <pivotArea outline="0" collapsedLevelsAreSubtotals="1" fieldPosition="0"/>
    </format>
    <format dxfId="1193">
      <pivotArea outline="0" collapsedLevelsAreSubtotals="1" fieldPosition="0"/>
    </format>
    <format dxfId="1192">
      <pivotArea outline="0" collapsedLevelsAreSubtotals="1" fieldPosition="0"/>
    </format>
    <format dxfId="1191">
      <pivotArea outline="0" collapsedLevelsAreSubtotals="1" fieldPosition="0"/>
    </format>
    <format dxfId="1190">
      <pivotArea outline="0" collapsedLevelsAreSubtotals="1" fieldPosition="0"/>
    </format>
    <format dxfId="1189">
      <pivotArea outline="0" collapsedLevelsAreSubtotals="1" fieldPosition="0"/>
    </format>
    <format dxfId="1188">
      <pivotArea outline="0" collapsedLevelsAreSubtotals="1" fieldPosition="0"/>
    </format>
    <format dxfId="1187">
      <pivotArea outline="0" collapsedLevelsAreSubtotals="1" fieldPosition="0"/>
    </format>
    <format dxfId="1186">
      <pivotArea outline="0" collapsedLevelsAreSubtotals="1" fieldPosition="0"/>
    </format>
    <format dxfId="1185">
      <pivotArea outline="0" collapsedLevelsAreSubtotals="1" fieldPosition="0"/>
    </format>
    <format dxfId="1184">
      <pivotArea outline="0" collapsedLevelsAreSubtotals="1" fieldPosition="0"/>
    </format>
    <format dxfId="1183">
      <pivotArea outline="0" collapsedLevelsAreSubtotals="1" fieldPosition="0"/>
    </format>
    <format dxfId="1182">
      <pivotArea grandRow="1" outline="0" collapsedLevelsAreSubtotals="1" fieldPosition="0"/>
    </format>
    <format dxfId="1181">
      <pivotArea dataOnly="0" labelOnly="1" grandRow="1" outline="0" fieldPosition="0"/>
    </format>
    <format dxfId="1180">
      <pivotArea grandRow="1" outline="0" collapsedLevelsAreSubtotals="1" fieldPosition="0"/>
    </format>
    <format dxfId="1179">
      <pivotArea dataOnly="0" labelOnly="1" grandRow="1" outline="0" fieldPosition="0"/>
    </format>
    <format dxfId="1178">
      <pivotArea grandRow="1" outline="0" collapsedLevelsAreSubtotals="1" fieldPosition="0"/>
    </format>
    <format dxfId="1177">
      <pivotArea dataOnly="0" labelOnly="1" grandRow="1" outline="0" fieldPosition="0"/>
    </format>
    <format dxfId="1176">
      <pivotArea grandRow="1" outline="0" collapsedLevelsAreSubtotals="1" fieldPosition="0"/>
    </format>
    <format dxfId="1175">
      <pivotArea dataOnly="0" labelOnly="1" grandRow="1" outline="0" fieldPosition="0"/>
    </format>
    <format dxfId="1174">
      <pivotArea grandRow="1" outline="0" collapsedLevelsAreSubtotals="1" fieldPosition="0"/>
    </format>
    <format dxfId="1173">
      <pivotArea dataOnly="0" labelOnly="1" grandRow="1" outline="0" fieldPosition="0"/>
    </format>
    <format dxfId="1172">
      <pivotArea grandRow="1" outline="0" collapsedLevelsAreSubtotals="1" fieldPosition="0"/>
    </format>
    <format dxfId="1171">
      <pivotArea dataOnly="0" labelOnly="1" grandRow="1" outline="0" fieldPosition="0"/>
    </format>
    <format dxfId="1170">
      <pivotArea grandRow="1" outline="0" collapsedLevelsAreSubtotals="1" fieldPosition="0"/>
    </format>
    <format dxfId="1169">
      <pivotArea dataOnly="0" labelOnly="1" grandRow="1" outline="0" fieldPosition="0"/>
    </format>
    <format dxfId="1168">
      <pivotArea grandRow="1" outline="0" collapsedLevelsAreSubtotals="1" fieldPosition="0"/>
    </format>
    <format dxfId="1167">
      <pivotArea dataOnly="0" labelOnly="1" grandRow="1" outline="0" fieldPosition="0"/>
    </format>
    <format dxfId="1166">
      <pivotArea grandRow="1" outline="0" collapsedLevelsAreSubtotals="1" fieldPosition="0"/>
    </format>
    <format dxfId="1165">
      <pivotArea dataOnly="0" labelOnly="1" grandRow="1" outline="0" fieldPosition="0"/>
    </format>
    <format dxfId="1164">
      <pivotArea dataOnly="0" labelOnly="1" grandRow="1" outline="0" fieldPosition="0"/>
    </format>
    <format dxfId="1163">
      <pivotArea grandRow="1" outline="0" collapsedLevelsAreSubtotals="1" fieldPosition="0"/>
    </format>
    <format dxfId="1162">
      <pivotArea grandRow="1" outline="0" collapsedLevelsAreSubtotals="1" fieldPosition="0"/>
    </format>
    <format dxfId="1161">
      <pivotArea dataOnly="0" labelOnly="1" grandRow="1" outline="0" fieldPosition="0"/>
    </format>
    <format dxfId="1160">
      <pivotArea grandRow="1" outline="0" collapsedLevelsAreSubtotals="1" fieldPosition="0"/>
    </format>
    <format dxfId="1159">
      <pivotArea dataOnly="0" labelOnly="1" grandRow="1" outline="0" fieldPosition="0"/>
    </format>
    <format dxfId="1158">
      <pivotArea grandRow="1" outline="0" collapsedLevelsAreSubtotals="1" fieldPosition="0"/>
    </format>
    <format dxfId="1157">
      <pivotArea dataOnly="0" labelOnly="1" grandRow="1" outline="0" fieldPosition="0"/>
    </format>
    <format dxfId="1156">
      <pivotArea grandRow="1" outline="0" collapsedLevelsAreSubtotals="1" fieldPosition="0"/>
    </format>
    <format dxfId="1155">
      <pivotArea dataOnly="0" labelOnly="1" grandRow="1" outline="0" fieldPosition="0"/>
    </format>
    <format dxfId="1154">
      <pivotArea grandRow="1" outline="0" collapsedLevelsAreSubtotals="1" fieldPosition="0"/>
    </format>
    <format dxfId="1153">
      <pivotArea dataOnly="0" labelOnly="1" grandRow="1" outline="0" fieldPosition="0"/>
    </format>
    <format dxfId="1152">
      <pivotArea grandRow="1" outline="0" collapsedLevelsAreSubtotals="1" fieldPosition="0"/>
    </format>
    <format dxfId="1151">
      <pivotArea dataOnly="0" labelOnly="1" grandRow="1" outline="0" fieldPosition="0"/>
    </format>
    <format dxfId="1150">
      <pivotArea grandRow="1" outline="0" collapsedLevelsAreSubtotals="1" fieldPosition="0"/>
    </format>
    <format dxfId="1149">
      <pivotArea dataOnly="0" labelOnly="1" grandRow="1" outline="0" fieldPosition="0"/>
    </format>
    <format dxfId="1148">
      <pivotArea grandRow="1" outline="0" collapsedLevelsAreSubtotals="1" fieldPosition="0"/>
    </format>
    <format dxfId="1147">
      <pivotArea dataOnly="0" labelOnly="1" grandRow="1" outline="0" fieldPosition="0"/>
    </format>
    <format dxfId="1146">
      <pivotArea grandRow="1" outline="0" collapsedLevelsAreSubtotals="1" fieldPosition="0"/>
    </format>
    <format dxfId="1145">
      <pivotArea dataOnly="0" labelOnly="1" grandRow="1" outline="0" fieldPosition="0"/>
    </format>
    <format dxfId="1144">
      <pivotArea grandRow="1" outline="0" collapsedLevelsAreSubtotals="1" fieldPosition="0"/>
    </format>
    <format dxfId="1143">
      <pivotArea dataOnly="0" labelOnly="1" grandRow="1" outline="0" fieldPosition="0"/>
    </format>
    <format dxfId="1142">
      <pivotArea grandRow="1" outline="0" collapsedLevelsAreSubtotals="1" fieldPosition="0"/>
    </format>
    <format dxfId="1141">
      <pivotArea dataOnly="0" labelOnly="1" grandRow="1" outline="0" fieldPosition="0"/>
    </format>
    <format dxfId="1140">
      <pivotArea grandRow="1" outline="0" collapsedLevelsAreSubtotals="1" fieldPosition="0"/>
    </format>
    <format dxfId="1139">
      <pivotArea dataOnly="0" labelOnly="1" grandRow="1" outline="0" fieldPosition="0"/>
    </format>
    <format dxfId="1138">
      <pivotArea dataOnly="0" labelOnly="1" grandRow="1" outline="0" fieldPosition="0"/>
    </format>
    <format dxfId="1137">
      <pivotArea dataOnly="0" labelOnly="1" grandRow="1" outline="0" fieldPosition="0"/>
    </format>
    <format dxfId="1136">
      <pivotArea dataOnly="0" labelOnly="1" grandRow="1" outline="0" fieldPosition="0"/>
    </format>
    <format dxfId="1135">
      <pivotArea dataOnly="0" labelOnly="1" grandRow="1" outline="0" fieldPosition="0"/>
    </format>
    <format dxfId="1134">
      <pivotArea dataOnly="0" labelOnly="1" grandRow="1" outline="0" fieldPosition="0"/>
    </format>
  </formats>
  <chartFormats count="9">
    <chartFormat chart="1" format="1"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9" format="1">
      <pivotArea type="data" outline="0" fieldPosition="0">
        <references count="2">
          <reference field="4294967294" count="1" selected="0">
            <x v="0"/>
          </reference>
          <reference field="3" count="1" selected="0">
            <x v="0"/>
          </reference>
        </references>
      </pivotArea>
    </chartFormat>
    <chartFormat chart="9" format="2">
      <pivotArea type="data" outline="0" fieldPosition="0">
        <references count="2">
          <reference field="4294967294" count="1" selected="0">
            <x v="0"/>
          </reference>
          <reference field="3" count="1" selected="0">
            <x v="1"/>
          </reference>
        </references>
      </pivotArea>
    </chartFormat>
    <chartFormat chart="9" format="3">
      <pivotArea type="data" outline="0" fieldPosition="0">
        <references count="2">
          <reference field="4294967294" count="1" selected="0">
            <x v="0"/>
          </reference>
          <reference field="3" count="1" selected="0">
            <x v="2"/>
          </reference>
        </references>
      </pivotArea>
    </chartFormat>
    <chartFormat chart="9" format="4">
      <pivotArea type="data" outline="0" fieldPosition="0">
        <references count="2">
          <reference field="4294967294" count="1" selected="0">
            <x v="0"/>
          </reference>
          <reference field="3" count="1" selected="0">
            <x v="3"/>
          </reference>
        </references>
      </pivotArea>
    </chartFormat>
    <chartFormat chart="9" format="5">
      <pivotArea type="data" outline="0" fieldPosition="0">
        <references count="2">
          <reference field="4294967294" count="1" selected="0">
            <x v="0"/>
          </reference>
          <reference field="3" count="1" selected="0">
            <x v="4"/>
          </reference>
        </references>
      </pivotArea>
    </chartFormat>
    <chartFormat chart="9" format="6">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45B8BE7-9525-49F5-B93F-EFBF579C6448}"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5">
  <location ref="A21:B29" firstHeaderRow="1" firstDataRow="1" firstDataCol="1"/>
  <pivotFields count="7">
    <pivotField showAll="0"/>
    <pivotField showAll="0"/>
    <pivotField axis="axisRow" showAll="0">
      <items count="8">
        <item x="3"/>
        <item x="4"/>
        <item x="2"/>
        <item x="6"/>
        <item x="5"/>
        <item x="1"/>
        <item x="0"/>
        <item t="default"/>
      </items>
    </pivotField>
    <pivotField showAll="0"/>
    <pivotField showAll="0"/>
    <pivotField showAll="0"/>
    <pivotField dataField="1" showAll="0"/>
  </pivotFields>
  <rowFields count="1">
    <field x="2"/>
  </rowFields>
  <rowItems count="8">
    <i>
      <x/>
    </i>
    <i>
      <x v="1"/>
    </i>
    <i>
      <x v="2"/>
    </i>
    <i>
      <x v="3"/>
    </i>
    <i>
      <x v="4"/>
    </i>
    <i>
      <x v="5"/>
    </i>
    <i>
      <x v="6"/>
    </i>
    <i t="grand">
      <x/>
    </i>
  </rowItems>
  <colItems count="1">
    <i/>
  </colItems>
  <dataFields count="1">
    <dataField name="Average of Delivery_Days" fld="6" subtotal="average" baseField="2" baseItem="0" numFmtId="1"/>
  </dataFields>
  <formats count="582">
    <format dxfId="2292">
      <pivotArea type="all" dataOnly="0" outline="0" fieldPosition="0"/>
    </format>
    <format dxfId="2291">
      <pivotArea outline="0" collapsedLevelsAreSubtotals="1" fieldPosition="0"/>
    </format>
    <format dxfId="2290">
      <pivotArea field="2" type="button" dataOnly="0" labelOnly="1" outline="0" axis="axisRow" fieldPosition="0"/>
    </format>
    <format dxfId="2289">
      <pivotArea dataOnly="0" labelOnly="1" outline="0" axis="axisValues" fieldPosition="0"/>
    </format>
    <format dxfId="2288">
      <pivotArea dataOnly="0" labelOnly="1" fieldPosition="0">
        <references count="1">
          <reference field="2" count="0"/>
        </references>
      </pivotArea>
    </format>
    <format dxfId="2287">
      <pivotArea dataOnly="0" labelOnly="1" grandRow="1" outline="0" fieldPosition="0"/>
    </format>
    <format dxfId="2286">
      <pivotArea dataOnly="0" labelOnly="1" outline="0" axis="axisValues" fieldPosition="0"/>
    </format>
    <format dxfId="2285">
      <pivotArea type="all" dataOnly="0" outline="0" fieldPosition="0"/>
    </format>
    <format dxfId="2284">
      <pivotArea outline="0" collapsedLevelsAreSubtotals="1" fieldPosition="0"/>
    </format>
    <format dxfId="2283">
      <pivotArea field="2" type="button" dataOnly="0" labelOnly="1" outline="0" axis="axisRow" fieldPosition="0"/>
    </format>
    <format dxfId="2282">
      <pivotArea dataOnly="0" labelOnly="1" outline="0" axis="axisValues" fieldPosition="0"/>
    </format>
    <format dxfId="2281">
      <pivotArea dataOnly="0" labelOnly="1" fieldPosition="0">
        <references count="1">
          <reference field="2" count="0"/>
        </references>
      </pivotArea>
    </format>
    <format dxfId="2280">
      <pivotArea dataOnly="0" labelOnly="1" grandRow="1" outline="0" fieldPosition="0"/>
    </format>
    <format dxfId="2279">
      <pivotArea dataOnly="0" labelOnly="1" outline="0" axis="axisValues" fieldPosition="0"/>
    </format>
    <format dxfId="2278">
      <pivotArea field="2" type="button" dataOnly="0" labelOnly="1" outline="0" axis="axisRow" fieldPosition="0"/>
    </format>
    <format dxfId="2277">
      <pivotArea dataOnly="0" labelOnly="1" outline="0" axis="axisValues" fieldPosition="0"/>
    </format>
    <format dxfId="2276">
      <pivotArea dataOnly="0" labelOnly="1" outline="0" axis="axisValues" fieldPosition="0"/>
    </format>
    <format dxfId="2275">
      <pivotArea field="2" type="button" dataOnly="0" labelOnly="1" outline="0" axis="axisRow" fieldPosition="0"/>
    </format>
    <format dxfId="2274">
      <pivotArea dataOnly="0" labelOnly="1" outline="0" axis="axisValues" fieldPosition="0"/>
    </format>
    <format dxfId="2273">
      <pivotArea dataOnly="0" labelOnly="1" outline="0" axis="axisValues" fieldPosition="0"/>
    </format>
    <format dxfId="2272">
      <pivotArea field="2" type="button" dataOnly="0" labelOnly="1" outline="0" axis="axisRow" fieldPosition="0"/>
    </format>
    <format dxfId="2271">
      <pivotArea dataOnly="0" labelOnly="1" outline="0" axis="axisValues" fieldPosition="0"/>
    </format>
    <format dxfId="2270">
      <pivotArea dataOnly="0" labelOnly="1" outline="0" axis="axisValues" fieldPosition="0"/>
    </format>
    <format dxfId="2269">
      <pivotArea field="2" type="button" dataOnly="0" labelOnly="1" outline="0" axis="axisRow" fieldPosition="0"/>
    </format>
    <format dxfId="2268">
      <pivotArea dataOnly="0" labelOnly="1" outline="0" axis="axisValues" fieldPosition="0"/>
    </format>
    <format dxfId="2267">
      <pivotArea dataOnly="0" labelOnly="1" outline="0" axis="axisValues" fieldPosition="0"/>
    </format>
    <format dxfId="2266">
      <pivotArea collapsedLevelsAreSubtotals="1" fieldPosition="0">
        <references count="1">
          <reference field="2" count="0"/>
        </references>
      </pivotArea>
    </format>
    <format dxfId="2265">
      <pivotArea dataOnly="0" labelOnly="1" fieldPosition="0">
        <references count="1">
          <reference field="2" count="0"/>
        </references>
      </pivotArea>
    </format>
    <format dxfId="2264">
      <pivotArea collapsedLevelsAreSubtotals="1" fieldPosition="0">
        <references count="1">
          <reference field="2" count="0"/>
        </references>
      </pivotArea>
    </format>
    <format dxfId="2263">
      <pivotArea dataOnly="0" labelOnly="1" fieldPosition="0">
        <references count="1">
          <reference field="2" count="0"/>
        </references>
      </pivotArea>
    </format>
    <format dxfId="2262">
      <pivotArea grandRow="1" outline="0" collapsedLevelsAreSubtotals="1" fieldPosition="0"/>
    </format>
    <format dxfId="2261">
      <pivotArea dataOnly="0" labelOnly="1" grandRow="1" outline="0" fieldPosition="0"/>
    </format>
    <format dxfId="2260">
      <pivotArea grandRow="1" outline="0" collapsedLevelsAreSubtotals="1" fieldPosition="0"/>
    </format>
    <format dxfId="2259">
      <pivotArea dataOnly="0" labelOnly="1" grandRow="1" outline="0" fieldPosition="0"/>
    </format>
    <format dxfId="2258">
      <pivotArea grandRow="1" outline="0" collapsedLevelsAreSubtotals="1" fieldPosition="0"/>
    </format>
    <format dxfId="2257">
      <pivotArea dataOnly="0" labelOnly="1" grandRow="1" outline="0" fieldPosition="0"/>
    </format>
    <format dxfId="2256">
      <pivotArea type="all" dataOnly="0" outline="0" fieldPosition="0"/>
    </format>
    <format dxfId="2255">
      <pivotArea outline="0" collapsedLevelsAreSubtotals="1" fieldPosition="0"/>
    </format>
    <format dxfId="2254">
      <pivotArea field="2" type="button" dataOnly="0" labelOnly="1" outline="0" axis="axisRow" fieldPosition="0"/>
    </format>
    <format dxfId="2253">
      <pivotArea dataOnly="0" labelOnly="1" outline="0" axis="axisValues" fieldPosition="0"/>
    </format>
    <format dxfId="2252">
      <pivotArea dataOnly="0" labelOnly="1" fieldPosition="0">
        <references count="1">
          <reference field="2" count="0"/>
        </references>
      </pivotArea>
    </format>
    <format dxfId="2251">
      <pivotArea dataOnly="0" labelOnly="1" grandRow="1" outline="0" fieldPosition="0"/>
    </format>
    <format dxfId="2250">
      <pivotArea dataOnly="0" labelOnly="1" outline="0" axis="axisValues" fieldPosition="0"/>
    </format>
    <format dxfId="2249">
      <pivotArea type="all" dataOnly="0" outline="0" fieldPosition="0"/>
    </format>
    <format dxfId="2248">
      <pivotArea outline="0" collapsedLevelsAreSubtotals="1" fieldPosition="0"/>
    </format>
    <format dxfId="2247">
      <pivotArea field="2" type="button" dataOnly="0" labelOnly="1" outline="0" axis="axisRow" fieldPosition="0"/>
    </format>
    <format dxfId="2246">
      <pivotArea dataOnly="0" labelOnly="1" outline="0" axis="axisValues" fieldPosition="0"/>
    </format>
    <format dxfId="2245">
      <pivotArea dataOnly="0" labelOnly="1" fieldPosition="0">
        <references count="1">
          <reference field="2" count="0"/>
        </references>
      </pivotArea>
    </format>
    <format dxfId="2244">
      <pivotArea dataOnly="0" labelOnly="1" grandRow="1" outline="0" fieldPosition="0"/>
    </format>
    <format dxfId="2243">
      <pivotArea dataOnly="0" labelOnly="1" outline="0" axis="axisValues" fieldPosition="0"/>
    </format>
    <format dxfId="2242">
      <pivotArea type="all" dataOnly="0" outline="0" fieldPosition="0"/>
    </format>
    <format dxfId="2241">
      <pivotArea outline="0" collapsedLevelsAreSubtotals="1" fieldPosition="0"/>
    </format>
    <format dxfId="2240">
      <pivotArea field="2" type="button" dataOnly="0" labelOnly="1" outline="0" axis="axisRow" fieldPosition="0"/>
    </format>
    <format dxfId="2239">
      <pivotArea dataOnly="0" labelOnly="1" outline="0" axis="axisValues" fieldPosition="0"/>
    </format>
    <format dxfId="2238">
      <pivotArea dataOnly="0" labelOnly="1" fieldPosition="0">
        <references count="1">
          <reference field="2" count="0"/>
        </references>
      </pivotArea>
    </format>
    <format dxfId="2237">
      <pivotArea dataOnly="0" labelOnly="1" grandRow="1" outline="0" fieldPosition="0"/>
    </format>
    <format dxfId="2236">
      <pivotArea dataOnly="0" labelOnly="1" outline="0" axis="axisValues" fieldPosition="0"/>
    </format>
    <format dxfId="2235">
      <pivotArea type="all" dataOnly="0" outline="0" fieldPosition="0"/>
    </format>
    <format dxfId="2234">
      <pivotArea outline="0" collapsedLevelsAreSubtotals="1" fieldPosition="0"/>
    </format>
    <format dxfId="2233">
      <pivotArea field="2" type="button" dataOnly="0" labelOnly="1" outline="0" axis="axisRow" fieldPosition="0"/>
    </format>
    <format dxfId="2232">
      <pivotArea dataOnly="0" labelOnly="1" outline="0" axis="axisValues" fieldPosition="0"/>
    </format>
    <format dxfId="2231">
      <pivotArea dataOnly="0" labelOnly="1" fieldPosition="0">
        <references count="1">
          <reference field="2" count="0"/>
        </references>
      </pivotArea>
    </format>
    <format dxfId="2230">
      <pivotArea dataOnly="0" labelOnly="1" grandRow="1" outline="0" fieldPosition="0"/>
    </format>
    <format dxfId="2229">
      <pivotArea dataOnly="0" labelOnly="1" outline="0" axis="axisValues" fieldPosition="0"/>
    </format>
    <format dxfId="2228">
      <pivotArea type="all" dataOnly="0" outline="0" fieldPosition="0"/>
    </format>
    <format dxfId="2227">
      <pivotArea outline="0" collapsedLevelsAreSubtotals="1" fieldPosition="0"/>
    </format>
    <format dxfId="2226">
      <pivotArea field="2" type="button" dataOnly="0" labelOnly="1" outline="0" axis="axisRow" fieldPosition="0"/>
    </format>
    <format dxfId="2225">
      <pivotArea dataOnly="0" labelOnly="1" outline="0" axis="axisValues" fieldPosition="0"/>
    </format>
    <format dxfId="2224">
      <pivotArea dataOnly="0" labelOnly="1" fieldPosition="0">
        <references count="1">
          <reference field="2" count="0"/>
        </references>
      </pivotArea>
    </format>
    <format dxfId="2223">
      <pivotArea dataOnly="0" labelOnly="1" grandRow="1" outline="0" fieldPosition="0"/>
    </format>
    <format dxfId="2222">
      <pivotArea dataOnly="0" labelOnly="1" outline="0" axis="axisValues" fieldPosition="0"/>
    </format>
    <format dxfId="2221">
      <pivotArea type="all" dataOnly="0" outline="0" fieldPosition="0"/>
    </format>
    <format dxfId="2220">
      <pivotArea outline="0" collapsedLevelsAreSubtotals="1" fieldPosition="0"/>
    </format>
    <format dxfId="2219">
      <pivotArea field="2" type="button" dataOnly="0" labelOnly="1" outline="0" axis="axisRow" fieldPosition="0"/>
    </format>
    <format dxfId="2218">
      <pivotArea dataOnly="0" labelOnly="1" outline="0" axis="axisValues" fieldPosition="0"/>
    </format>
    <format dxfId="2217">
      <pivotArea dataOnly="0" labelOnly="1" fieldPosition="0">
        <references count="1">
          <reference field="2" count="0"/>
        </references>
      </pivotArea>
    </format>
    <format dxfId="2216">
      <pivotArea dataOnly="0" labelOnly="1" grandRow="1" outline="0" fieldPosition="0"/>
    </format>
    <format dxfId="2215">
      <pivotArea dataOnly="0" labelOnly="1" outline="0" axis="axisValues" fieldPosition="0"/>
    </format>
    <format dxfId="2214">
      <pivotArea type="all" dataOnly="0" outline="0" fieldPosition="0"/>
    </format>
    <format dxfId="2213">
      <pivotArea outline="0" collapsedLevelsAreSubtotals="1" fieldPosition="0"/>
    </format>
    <format dxfId="2212">
      <pivotArea field="2" type="button" dataOnly="0" labelOnly="1" outline="0" axis="axisRow" fieldPosition="0"/>
    </format>
    <format dxfId="2211">
      <pivotArea dataOnly="0" labelOnly="1" outline="0" axis="axisValues" fieldPosition="0"/>
    </format>
    <format dxfId="2210">
      <pivotArea dataOnly="0" labelOnly="1" fieldPosition="0">
        <references count="1">
          <reference field="2" count="0"/>
        </references>
      </pivotArea>
    </format>
    <format dxfId="2209">
      <pivotArea dataOnly="0" labelOnly="1" grandRow="1" outline="0" fieldPosition="0"/>
    </format>
    <format dxfId="2208">
      <pivotArea dataOnly="0" labelOnly="1" outline="0" axis="axisValues" fieldPosition="0"/>
    </format>
    <format dxfId="2207">
      <pivotArea type="all" dataOnly="0" outline="0" fieldPosition="0"/>
    </format>
    <format dxfId="2206">
      <pivotArea outline="0" collapsedLevelsAreSubtotals="1" fieldPosition="0"/>
    </format>
    <format dxfId="2205">
      <pivotArea field="2" type="button" dataOnly="0" labelOnly="1" outline="0" axis="axisRow" fieldPosition="0"/>
    </format>
    <format dxfId="2204">
      <pivotArea dataOnly="0" labelOnly="1" outline="0" axis="axisValues" fieldPosition="0"/>
    </format>
    <format dxfId="2203">
      <pivotArea dataOnly="0" labelOnly="1" fieldPosition="0">
        <references count="1">
          <reference field="2" count="0"/>
        </references>
      </pivotArea>
    </format>
    <format dxfId="2202">
      <pivotArea dataOnly="0" labelOnly="1" grandRow="1" outline="0" fieldPosition="0"/>
    </format>
    <format dxfId="2201">
      <pivotArea dataOnly="0" labelOnly="1" outline="0" axis="axisValues" fieldPosition="0"/>
    </format>
    <format dxfId="2200">
      <pivotArea type="all" dataOnly="0" outline="0" fieldPosition="0"/>
    </format>
    <format dxfId="2199">
      <pivotArea outline="0" collapsedLevelsAreSubtotals="1" fieldPosition="0"/>
    </format>
    <format dxfId="2198">
      <pivotArea field="2" type="button" dataOnly="0" labelOnly="1" outline="0" axis="axisRow" fieldPosition="0"/>
    </format>
    <format dxfId="2197">
      <pivotArea dataOnly="0" labelOnly="1" outline="0" axis="axisValues" fieldPosition="0"/>
    </format>
    <format dxfId="2196">
      <pivotArea dataOnly="0" labelOnly="1" fieldPosition="0">
        <references count="1">
          <reference field="2" count="0"/>
        </references>
      </pivotArea>
    </format>
    <format dxfId="2195">
      <pivotArea dataOnly="0" labelOnly="1" grandRow="1" outline="0" fieldPosition="0"/>
    </format>
    <format dxfId="2194">
      <pivotArea dataOnly="0" labelOnly="1" outline="0" axis="axisValues" fieldPosition="0"/>
    </format>
    <format dxfId="2193">
      <pivotArea type="all" dataOnly="0" outline="0" fieldPosition="0"/>
    </format>
    <format dxfId="2192">
      <pivotArea outline="0" collapsedLevelsAreSubtotals="1" fieldPosition="0"/>
    </format>
    <format dxfId="2191">
      <pivotArea field="2" type="button" dataOnly="0" labelOnly="1" outline="0" axis="axisRow" fieldPosition="0"/>
    </format>
    <format dxfId="2190">
      <pivotArea dataOnly="0" labelOnly="1" outline="0" axis="axisValues" fieldPosition="0"/>
    </format>
    <format dxfId="2189">
      <pivotArea dataOnly="0" labelOnly="1" fieldPosition="0">
        <references count="1">
          <reference field="2" count="0"/>
        </references>
      </pivotArea>
    </format>
    <format dxfId="2188">
      <pivotArea dataOnly="0" labelOnly="1" grandRow="1" outline="0" fieldPosition="0"/>
    </format>
    <format dxfId="2187">
      <pivotArea dataOnly="0" labelOnly="1" outline="0" axis="axisValues" fieldPosition="0"/>
    </format>
    <format dxfId="2186">
      <pivotArea type="all" dataOnly="0" outline="0" fieldPosition="0"/>
    </format>
    <format dxfId="2185">
      <pivotArea outline="0" collapsedLevelsAreSubtotals="1" fieldPosition="0"/>
    </format>
    <format dxfId="2184">
      <pivotArea field="2" type="button" dataOnly="0" labelOnly="1" outline="0" axis="axisRow" fieldPosition="0"/>
    </format>
    <format dxfId="2183">
      <pivotArea dataOnly="0" labelOnly="1" outline="0" axis="axisValues" fieldPosition="0"/>
    </format>
    <format dxfId="2182">
      <pivotArea dataOnly="0" labelOnly="1" fieldPosition="0">
        <references count="1">
          <reference field="2" count="0"/>
        </references>
      </pivotArea>
    </format>
    <format dxfId="2181">
      <pivotArea dataOnly="0" labelOnly="1" grandRow="1" outline="0" fieldPosition="0"/>
    </format>
    <format dxfId="2180">
      <pivotArea dataOnly="0" labelOnly="1" outline="0" axis="axisValues" fieldPosition="0"/>
    </format>
    <format dxfId="2179">
      <pivotArea type="all" dataOnly="0" outline="0" fieldPosition="0"/>
    </format>
    <format dxfId="2178">
      <pivotArea outline="0" collapsedLevelsAreSubtotals="1" fieldPosition="0"/>
    </format>
    <format dxfId="2177">
      <pivotArea field="2" type="button" dataOnly="0" labelOnly="1" outline="0" axis="axisRow" fieldPosition="0"/>
    </format>
    <format dxfId="2176">
      <pivotArea dataOnly="0" labelOnly="1" outline="0" axis="axisValues" fieldPosition="0"/>
    </format>
    <format dxfId="2175">
      <pivotArea dataOnly="0" labelOnly="1" fieldPosition="0">
        <references count="1">
          <reference field="2" count="0"/>
        </references>
      </pivotArea>
    </format>
    <format dxfId="2174">
      <pivotArea dataOnly="0" labelOnly="1" grandRow="1" outline="0" fieldPosition="0"/>
    </format>
    <format dxfId="2173">
      <pivotArea dataOnly="0" labelOnly="1" outline="0" axis="axisValues" fieldPosition="0"/>
    </format>
    <format dxfId="2172">
      <pivotArea type="all" dataOnly="0" outline="0" fieldPosition="0"/>
    </format>
    <format dxfId="2171">
      <pivotArea outline="0" collapsedLevelsAreSubtotals="1" fieldPosition="0"/>
    </format>
    <format dxfId="2170">
      <pivotArea field="2" type="button" dataOnly="0" labelOnly="1" outline="0" axis="axisRow" fieldPosition="0"/>
    </format>
    <format dxfId="2169">
      <pivotArea dataOnly="0" labelOnly="1" outline="0" axis="axisValues" fieldPosition="0"/>
    </format>
    <format dxfId="2168">
      <pivotArea dataOnly="0" labelOnly="1" fieldPosition="0">
        <references count="1">
          <reference field="2" count="0"/>
        </references>
      </pivotArea>
    </format>
    <format dxfId="2167">
      <pivotArea dataOnly="0" labelOnly="1" grandRow="1" outline="0" fieldPosition="0"/>
    </format>
    <format dxfId="2166">
      <pivotArea dataOnly="0" labelOnly="1" outline="0" axis="axisValues" fieldPosition="0"/>
    </format>
    <format dxfId="2165">
      <pivotArea type="all" dataOnly="0" outline="0" fieldPosition="0"/>
    </format>
    <format dxfId="2164">
      <pivotArea outline="0" collapsedLevelsAreSubtotals="1" fieldPosition="0"/>
    </format>
    <format dxfId="2163">
      <pivotArea field="2" type="button" dataOnly="0" labelOnly="1" outline="0" axis="axisRow" fieldPosition="0"/>
    </format>
    <format dxfId="2162">
      <pivotArea dataOnly="0" labelOnly="1" outline="0" axis="axisValues" fieldPosition="0"/>
    </format>
    <format dxfId="2161">
      <pivotArea dataOnly="0" labelOnly="1" fieldPosition="0">
        <references count="1">
          <reference field="2" count="0"/>
        </references>
      </pivotArea>
    </format>
    <format dxfId="2160">
      <pivotArea dataOnly="0" labelOnly="1" grandRow="1" outline="0" fieldPosition="0"/>
    </format>
    <format dxfId="2159">
      <pivotArea dataOnly="0" labelOnly="1" outline="0" axis="axisValues" fieldPosition="0"/>
    </format>
    <format dxfId="2158">
      <pivotArea type="all" dataOnly="0" outline="0" fieldPosition="0"/>
    </format>
    <format dxfId="2157">
      <pivotArea outline="0" collapsedLevelsAreSubtotals="1" fieldPosition="0"/>
    </format>
    <format dxfId="2156">
      <pivotArea field="2" type="button" dataOnly="0" labelOnly="1" outline="0" axis="axisRow" fieldPosition="0"/>
    </format>
    <format dxfId="2155">
      <pivotArea dataOnly="0" labelOnly="1" outline="0" axis="axisValues" fieldPosition="0"/>
    </format>
    <format dxfId="2154">
      <pivotArea dataOnly="0" labelOnly="1" fieldPosition="0">
        <references count="1">
          <reference field="2" count="0"/>
        </references>
      </pivotArea>
    </format>
    <format dxfId="2153">
      <pivotArea dataOnly="0" labelOnly="1" grandRow="1" outline="0" fieldPosition="0"/>
    </format>
    <format dxfId="2152">
      <pivotArea dataOnly="0" labelOnly="1" outline="0" axis="axisValues" fieldPosition="0"/>
    </format>
    <format dxfId="2151">
      <pivotArea type="all" dataOnly="0" outline="0" fieldPosition="0"/>
    </format>
    <format dxfId="2150">
      <pivotArea outline="0" collapsedLevelsAreSubtotals="1" fieldPosition="0"/>
    </format>
    <format dxfId="2149">
      <pivotArea field="2" type="button" dataOnly="0" labelOnly="1" outline="0" axis="axisRow" fieldPosition="0"/>
    </format>
    <format dxfId="2148">
      <pivotArea dataOnly="0" labelOnly="1" outline="0" axis="axisValues" fieldPosition="0"/>
    </format>
    <format dxfId="2147">
      <pivotArea dataOnly="0" labelOnly="1" fieldPosition="0">
        <references count="1">
          <reference field="2" count="0"/>
        </references>
      </pivotArea>
    </format>
    <format dxfId="2146">
      <pivotArea dataOnly="0" labelOnly="1" grandRow="1" outline="0" fieldPosition="0"/>
    </format>
    <format dxfId="2145">
      <pivotArea dataOnly="0" labelOnly="1" outline="0" axis="axisValues" fieldPosition="0"/>
    </format>
    <format dxfId="2144">
      <pivotArea type="all" dataOnly="0" outline="0" fieldPosition="0"/>
    </format>
    <format dxfId="2143">
      <pivotArea outline="0" collapsedLevelsAreSubtotals="1" fieldPosition="0"/>
    </format>
    <format dxfId="2142">
      <pivotArea field="2" type="button" dataOnly="0" labelOnly="1" outline="0" axis="axisRow" fieldPosition="0"/>
    </format>
    <format dxfId="2141">
      <pivotArea dataOnly="0" labelOnly="1" outline="0" axis="axisValues" fieldPosition="0"/>
    </format>
    <format dxfId="2140">
      <pivotArea dataOnly="0" labelOnly="1" fieldPosition="0">
        <references count="1">
          <reference field="2" count="0"/>
        </references>
      </pivotArea>
    </format>
    <format dxfId="2139">
      <pivotArea dataOnly="0" labelOnly="1" grandRow="1" outline="0" fieldPosition="0"/>
    </format>
    <format dxfId="2138">
      <pivotArea dataOnly="0" labelOnly="1" outline="0" axis="axisValues" fieldPosition="0"/>
    </format>
    <format dxfId="2137">
      <pivotArea type="all" dataOnly="0" outline="0" fieldPosition="0"/>
    </format>
    <format dxfId="2136">
      <pivotArea outline="0" collapsedLevelsAreSubtotals="1" fieldPosition="0"/>
    </format>
    <format dxfId="2135">
      <pivotArea field="2" type="button" dataOnly="0" labelOnly="1" outline="0" axis="axisRow" fieldPosition="0"/>
    </format>
    <format dxfId="2134">
      <pivotArea dataOnly="0" labelOnly="1" outline="0" axis="axisValues" fieldPosition="0"/>
    </format>
    <format dxfId="2133">
      <pivotArea dataOnly="0" labelOnly="1" fieldPosition="0">
        <references count="1">
          <reference field="2" count="0"/>
        </references>
      </pivotArea>
    </format>
    <format dxfId="2132">
      <pivotArea dataOnly="0" labelOnly="1" grandRow="1" outline="0" fieldPosition="0"/>
    </format>
    <format dxfId="2131">
      <pivotArea dataOnly="0" labelOnly="1" outline="0" axis="axisValues" fieldPosition="0"/>
    </format>
    <format dxfId="2130">
      <pivotArea collapsedLevelsAreSubtotals="1" fieldPosition="0">
        <references count="1">
          <reference field="2" count="1">
            <x v="0"/>
          </reference>
        </references>
      </pivotArea>
    </format>
    <format dxfId="2129">
      <pivotArea collapsedLevelsAreSubtotals="1" fieldPosition="0">
        <references count="1">
          <reference field="2" count="1">
            <x v="1"/>
          </reference>
        </references>
      </pivotArea>
    </format>
    <format dxfId="2128">
      <pivotArea collapsedLevelsAreSubtotals="1" fieldPosition="0">
        <references count="1">
          <reference field="2" count="1">
            <x v="2"/>
          </reference>
        </references>
      </pivotArea>
    </format>
    <format dxfId="2127">
      <pivotArea collapsedLevelsAreSubtotals="1" fieldPosition="0">
        <references count="1">
          <reference field="2" count="1">
            <x v="3"/>
          </reference>
        </references>
      </pivotArea>
    </format>
    <format dxfId="2126">
      <pivotArea collapsedLevelsAreSubtotals="1" fieldPosition="0">
        <references count="1">
          <reference field="2" count="1">
            <x v="4"/>
          </reference>
        </references>
      </pivotArea>
    </format>
    <format dxfId="2125">
      <pivotArea collapsedLevelsAreSubtotals="1" fieldPosition="0">
        <references count="1">
          <reference field="2" count="1">
            <x v="5"/>
          </reference>
        </references>
      </pivotArea>
    </format>
    <format dxfId="2124">
      <pivotArea collapsedLevelsAreSubtotals="1" fieldPosition="0">
        <references count="1">
          <reference field="2" count="1">
            <x v="6"/>
          </reference>
        </references>
      </pivotArea>
    </format>
    <format dxfId="2123">
      <pivotArea grandRow="1" outline="0" collapsedLevelsAreSubtotals="1" fieldPosition="0"/>
    </format>
    <format dxfId="2122">
      <pivotArea type="all" dataOnly="0" outline="0" fieldPosition="0"/>
    </format>
    <format dxfId="2121">
      <pivotArea outline="0" collapsedLevelsAreSubtotals="1" fieldPosition="0"/>
    </format>
    <format dxfId="2120">
      <pivotArea field="2" type="button" dataOnly="0" labelOnly="1" outline="0" axis="axisRow" fieldPosition="0"/>
    </format>
    <format dxfId="2119">
      <pivotArea dataOnly="0" labelOnly="1" outline="0" axis="axisValues" fieldPosition="0"/>
    </format>
    <format dxfId="2118">
      <pivotArea dataOnly="0" labelOnly="1" fieldPosition="0">
        <references count="1">
          <reference field="2" count="0"/>
        </references>
      </pivotArea>
    </format>
    <format dxfId="2117">
      <pivotArea dataOnly="0" labelOnly="1" grandRow="1" outline="0" fieldPosition="0"/>
    </format>
    <format dxfId="2116">
      <pivotArea dataOnly="0" labelOnly="1" outline="0" axis="axisValues" fieldPosition="0"/>
    </format>
    <format dxfId="2115">
      <pivotArea type="all" dataOnly="0" outline="0" fieldPosition="0"/>
    </format>
    <format dxfId="2114">
      <pivotArea outline="0" collapsedLevelsAreSubtotals="1" fieldPosition="0"/>
    </format>
    <format dxfId="2113">
      <pivotArea field="2" type="button" dataOnly="0" labelOnly="1" outline="0" axis="axisRow" fieldPosition="0"/>
    </format>
    <format dxfId="2112">
      <pivotArea dataOnly="0" labelOnly="1" outline="0" axis="axisValues" fieldPosition="0"/>
    </format>
    <format dxfId="2111">
      <pivotArea dataOnly="0" labelOnly="1" fieldPosition="0">
        <references count="1">
          <reference field="2" count="0"/>
        </references>
      </pivotArea>
    </format>
    <format dxfId="2110">
      <pivotArea dataOnly="0" labelOnly="1" grandRow="1" outline="0" fieldPosition="0"/>
    </format>
    <format dxfId="2109">
      <pivotArea dataOnly="0" labelOnly="1" outline="0" axis="axisValues" fieldPosition="0"/>
    </format>
    <format dxfId="2108">
      <pivotArea field="2" type="button" dataOnly="0" labelOnly="1" outline="0" axis="axisRow" fieldPosition="0"/>
    </format>
    <format dxfId="2107">
      <pivotArea dataOnly="0" labelOnly="1" outline="0" axis="axisValues" fieldPosition="0"/>
    </format>
    <format dxfId="2106">
      <pivotArea dataOnly="0" labelOnly="1" outline="0" axis="axisValues" fieldPosition="0"/>
    </format>
    <format dxfId="2105">
      <pivotArea field="2" type="button" dataOnly="0" labelOnly="1" outline="0" axis="axisRow" fieldPosition="0"/>
    </format>
    <format dxfId="2104">
      <pivotArea dataOnly="0" labelOnly="1" outline="0" axis="axisValues" fieldPosition="0"/>
    </format>
    <format dxfId="2103">
      <pivotArea dataOnly="0" labelOnly="1" outline="0" axis="axisValues" fieldPosition="0"/>
    </format>
    <format dxfId="2102">
      <pivotArea field="2" type="button" dataOnly="0" labelOnly="1" outline="0" axis="axisRow" fieldPosition="0"/>
    </format>
    <format dxfId="2101">
      <pivotArea dataOnly="0" labelOnly="1" outline="0" axis="axisValues" fieldPosition="0"/>
    </format>
    <format dxfId="2100">
      <pivotArea dataOnly="0" labelOnly="1" outline="0" axis="axisValues" fieldPosition="0"/>
    </format>
    <format dxfId="2099">
      <pivotArea field="2" type="button" dataOnly="0" labelOnly="1" outline="0" axis="axisRow" fieldPosition="0"/>
    </format>
    <format dxfId="2098">
      <pivotArea dataOnly="0" labelOnly="1" outline="0" axis="axisValues" fieldPosition="0"/>
    </format>
    <format dxfId="2097">
      <pivotArea dataOnly="0" labelOnly="1" outline="0" axis="axisValues" fieldPosition="0"/>
    </format>
    <format dxfId="2096">
      <pivotArea collapsedLevelsAreSubtotals="1" fieldPosition="0">
        <references count="1">
          <reference field="2" count="0"/>
        </references>
      </pivotArea>
    </format>
    <format dxfId="2095">
      <pivotArea dataOnly="0" labelOnly="1" fieldPosition="0">
        <references count="1">
          <reference field="2" count="0"/>
        </references>
      </pivotArea>
    </format>
    <format dxfId="2094">
      <pivotArea collapsedLevelsAreSubtotals="1" fieldPosition="0">
        <references count="1">
          <reference field="2" count="0"/>
        </references>
      </pivotArea>
    </format>
    <format dxfId="2093">
      <pivotArea dataOnly="0" labelOnly="1" fieldPosition="0">
        <references count="1">
          <reference field="2" count="0"/>
        </references>
      </pivotArea>
    </format>
    <format dxfId="2092">
      <pivotArea grandRow="1" outline="0" collapsedLevelsAreSubtotals="1" fieldPosition="0"/>
    </format>
    <format dxfId="2091">
      <pivotArea dataOnly="0" labelOnly="1" grandRow="1" outline="0" fieldPosition="0"/>
    </format>
    <format dxfId="2090">
      <pivotArea grandRow="1" outline="0" collapsedLevelsAreSubtotals="1" fieldPosition="0"/>
    </format>
    <format dxfId="2089">
      <pivotArea dataOnly="0" labelOnly="1" grandRow="1" outline="0" fieldPosition="0"/>
    </format>
    <format dxfId="2088">
      <pivotArea type="all" dataOnly="0" outline="0" fieldPosition="0"/>
    </format>
    <format dxfId="2087">
      <pivotArea outline="0" collapsedLevelsAreSubtotals="1" fieldPosition="0"/>
    </format>
    <format dxfId="2086">
      <pivotArea field="2" type="button" dataOnly="0" labelOnly="1" outline="0" axis="axisRow" fieldPosition="0"/>
    </format>
    <format dxfId="2085">
      <pivotArea dataOnly="0" labelOnly="1" outline="0" axis="axisValues" fieldPosition="0"/>
    </format>
    <format dxfId="2084">
      <pivotArea dataOnly="0" labelOnly="1" fieldPosition="0">
        <references count="1">
          <reference field="2" count="0"/>
        </references>
      </pivotArea>
    </format>
    <format dxfId="2083">
      <pivotArea dataOnly="0" labelOnly="1" grandRow="1" outline="0" fieldPosition="0"/>
    </format>
    <format dxfId="2082">
      <pivotArea dataOnly="0" labelOnly="1" outline="0" axis="axisValues" fieldPosition="0"/>
    </format>
    <format dxfId="2081">
      <pivotArea type="all" dataOnly="0" outline="0" fieldPosition="0"/>
    </format>
    <format dxfId="2080">
      <pivotArea outline="0" collapsedLevelsAreSubtotals="1" fieldPosition="0"/>
    </format>
    <format dxfId="2079">
      <pivotArea field="2" type="button" dataOnly="0" labelOnly="1" outline="0" axis="axisRow" fieldPosition="0"/>
    </format>
    <format dxfId="2078">
      <pivotArea dataOnly="0" labelOnly="1" outline="0" axis="axisValues" fieldPosition="0"/>
    </format>
    <format dxfId="2077">
      <pivotArea dataOnly="0" labelOnly="1" fieldPosition="0">
        <references count="1">
          <reference field="2" count="0"/>
        </references>
      </pivotArea>
    </format>
    <format dxfId="2076">
      <pivotArea dataOnly="0" labelOnly="1" grandRow="1" outline="0" fieldPosition="0"/>
    </format>
    <format dxfId="2075">
      <pivotArea dataOnly="0" labelOnly="1" outline="0" axis="axisValues" fieldPosition="0"/>
    </format>
    <format dxfId="2074">
      <pivotArea type="all" dataOnly="0" outline="0" fieldPosition="0"/>
    </format>
    <format dxfId="2073">
      <pivotArea outline="0" collapsedLevelsAreSubtotals="1" fieldPosition="0"/>
    </format>
    <format dxfId="2072">
      <pivotArea field="2" type="button" dataOnly="0" labelOnly="1" outline="0" axis="axisRow" fieldPosition="0"/>
    </format>
    <format dxfId="2071">
      <pivotArea dataOnly="0" labelOnly="1" outline="0" axis="axisValues" fieldPosition="0"/>
    </format>
    <format dxfId="2070">
      <pivotArea dataOnly="0" labelOnly="1" fieldPosition="0">
        <references count="1">
          <reference field="2" count="0"/>
        </references>
      </pivotArea>
    </format>
    <format dxfId="2069">
      <pivotArea dataOnly="0" labelOnly="1" grandRow="1" outline="0" fieldPosition="0"/>
    </format>
    <format dxfId="2068">
      <pivotArea dataOnly="0" labelOnly="1" outline="0" axis="axisValues" fieldPosition="0"/>
    </format>
    <format dxfId="2067">
      <pivotArea type="all" dataOnly="0" outline="0" fieldPosition="0"/>
    </format>
    <format dxfId="2066">
      <pivotArea outline="0" collapsedLevelsAreSubtotals="1" fieldPosition="0"/>
    </format>
    <format dxfId="2065">
      <pivotArea field="2" type="button" dataOnly="0" labelOnly="1" outline="0" axis="axisRow" fieldPosition="0"/>
    </format>
    <format dxfId="2064">
      <pivotArea dataOnly="0" labelOnly="1" outline="0" axis="axisValues" fieldPosition="0"/>
    </format>
    <format dxfId="2063">
      <pivotArea dataOnly="0" labelOnly="1" fieldPosition="0">
        <references count="1">
          <reference field="2" count="0"/>
        </references>
      </pivotArea>
    </format>
    <format dxfId="2062">
      <pivotArea dataOnly="0" labelOnly="1" grandRow="1" outline="0" fieldPosition="0"/>
    </format>
    <format dxfId="2061">
      <pivotArea dataOnly="0" labelOnly="1" outline="0" axis="axisValues" fieldPosition="0"/>
    </format>
    <format dxfId="2060">
      <pivotArea type="all" dataOnly="0" outline="0" fieldPosition="0"/>
    </format>
    <format dxfId="2059">
      <pivotArea outline="0" collapsedLevelsAreSubtotals="1" fieldPosition="0"/>
    </format>
    <format dxfId="2058">
      <pivotArea field="2" type="button" dataOnly="0" labelOnly="1" outline="0" axis="axisRow" fieldPosition="0"/>
    </format>
    <format dxfId="2057">
      <pivotArea dataOnly="0" labelOnly="1" outline="0" axis="axisValues" fieldPosition="0"/>
    </format>
    <format dxfId="2056">
      <pivotArea dataOnly="0" labelOnly="1" fieldPosition="0">
        <references count="1">
          <reference field="2" count="0"/>
        </references>
      </pivotArea>
    </format>
    <format dxfId="2055">
      <pivotArea dataOnly="0" labelOnly="1" grandRow="1" outline="0" fieldPosition="0"/>
    </format>
    <format dxfId="2054">
      <pivotArea dataOnly="0" labelOnly="1" outline="0" axis="axisValues" fieldPosition="0"/>
    </format>
    <format dxfId="2053">
      <pivotArea type="all" dataOnly="0" outline="0" fieldPosition="0"/>
    </format>
    <format dxfId="2052">
      <pivotArea outline="0" collapsedLevelsAreSubtotals="1" fieldPosition="0"/>
    </format>
    <format dxfId="2051">
      <pivotArea field="2" type="button" dataOnly="0" labelOnly="1" outline="0" axis="axisRow" fieldPosition="0"/>
    </format>
    <format dxfId="2050">
      <pivotArea dataOnly="0" labelOnly="1" outline="0" axis="axisValues" fieldPosition="0"/>
    </format>
    <format dxfId="2049">
      <pivotArea dataOnly="0" labelOnly="1" fieldPosition="0">
        <references count="1">
          <reference field="2" count="0"/>
        </references>
      </pivotArea>
    </format>
    <format dxfId="2048">
      <pivotArea dataOnly="0" labelOnly="1" grandRow="1" outline="0" fieldPosition="0"/>
    </format>
    <format dxfId="2047">
      <pivotArea dataOnly="0" labelOnly="1" outline="0" axis="axisValues" fieldPosition="0"/>
    </format>
    <format dxfId="2046">
      <pivotArea type="all" dataOnly="0" outline="0" fieldPosition="0"/>
    </format>
    <format dxfId="2045">
      <pivotArea outline="0" collapsedLevelsAreSubtotals="1" fieldPosition="0"/>
    </format>
    <format dxfId="2044">
      <pivotArea field="2" type="button" dataOnly="0" labelOnly="1" outline="0" axis="axisRow" fieldPosition="0"/>
    </format>
    <format dxfId="2043">
      <pivotArea dataOnly="0" labelOnly="1" outline="0" axis="axisValues" fieldPosition="0"/>
    </format>
    <format dxfId="2042">
      <pivotArea dataOnly="0" labelOnly="1" fieldPosition="0">
        <references count="1">
          <reference field="2" count="0"/>
        </references>
      </pivotArea>
    </format>
    <format dxfId="2041">
      <pivotArea dataOnly="0" labelOnly="1" grandRow="1" outline="0" fieldPosition="0"/>
    </format>
    <format dxfId="2040">
      <pivotArea dataOnly="0" labelOnly="1" outline="0" axis="axisValues" fieldPosition="0"/>
    </format>
    <format dxfId="2039">
      <pivotArea type="all" dataOnly="0" outline="0" fieldPosition="0"/>
    </format>
    <format dxfId="2038">
      <pivotArea outline="0" collapsedLevelsAreSubtotals="1" fieldPosition="0"/>
    </format>
    <format dxfId="2037">
      <pivotArea field="2" type="button" dataOnly="0" labelOnly="1" outline="0" axis="axisRow" fieldPosition="0"/>
    </format>
    <format dxfId="2036">
      <pivotArea dataOnly="0" labelOnly="1" outline="0" axis="axisValues" fieldPosition="0"/>
    </format>
    <format dxfId="2035">
      <pivotArea dataOnly="0" labelOnly="1" fieldPosition="0">
        <references count="1">
          <reference field="2" count="0"/>
        </references>
      </pivotArea>
    </format>
    <format dxfId="2034">
      <pivotArea dataOnly="0" labelOnly="1" grandRow="1" outline="0" fieldPosition="0"/>
    </format>
    <format dxfId="2033">
      <pivotArea dataOnly="0" labelOnly="1" outline="0" axis="axisValues" fieldPosition="0"/>
    </format>
    <format dxfId="2032">
      <pivotArea type="all" dataOnly="0" outline="0" fieldPosition="0"/>
    </format>
    <format dxfId="2031">
      <pivotArea outline="0" collapsedLevelsAreSubtotals="1" fieldPosition="0"/>
    </format>
    <format dxfId="2030">
      <pivotArea field="2" type="button" dataOnly="0" labelOnly="1" outline="0" axis="axisRow" fieldPosition="0"/>
    </format>
    <format dxfId="2029">
      <pivotArea dataOnly="0" labelOnly="1" outline="0" axis="axisValues" fieldPosition="0"/>
    </format>
    <format dxfId="2028">
      <pivotArea dataOnly="0" labelOnly="1" fieldPosition="0">
        <references count="1">
          <reference field="2" count="0"/>
        </references>
      </pivotArea>
    </format>
    <format dxfId="2027">
      <pivotArea dataOnly="0" labelOnly="1" grandRow="1" outline="0" fieldPosition="0"/>
    </format>
    <format dxfId="2026">
      <pivotArea dataOnly="0" labelOnly="1" outline="0" axis="axisValues" fieldPosition="0"/>
    </format>
    <format dxfId="2025">
      <pivotArea type="all" dataOnly="0" outline="0" fieldPosition="0"/>
    </format>
    <format dxfId="2024">
      <pivotArea outline="0" collapsedLevelsAreSubtotals="1" fieldPosition="0"/>
    </format>
    <format dxfId="2023">
      <pivotArea field="2" type="button" dataOnly="0" labelOnly="1" outline="0" axis="axisRow" fieldPosition="0"/>
    </format>
    <format dxfId="2022">
      <pivotArea dataOnly="0" labelOnly="1" outline="0" axis="axisValues" fieldPosition="0"/>
    </format>
    <format dxfId="2021">
      <pivotArea dataOnly="0" labelOnly="1" fieldPosition="0">
        <references count="1">
          <reference field="2" count="0"/>
        </references>
      </pivotArea>
    </format>
    <format dxfId="2020">
      <pivotArea dataOnly="0" labelOnly="1" grandRow="1" outline="0" fieldPosition="0"/>
    </format>
    <format dxfId="2019">
      <pivotArea dataOnly="0" labelOnly="1" outline="0" axis="axisValues" fieldPosition="0"/>
    </format>
    <format dxfId="2018">
      <pivotArea type="all" dataOnly="0" outline="0" fieldPosition="0"/>
    </format>
    <format dxfId="2017">
      <pivotArea outline="0" collapsedLevelsAreSubtotals="1" fieldPosition="0"/>
    </format>
    <format dxfId="2016">
      <pivotArea field="2" type="button" dataOnly="0" labelOnly="1" outline="0" axis="axisRow" fieldPosition="0"/>
    </format>
    <format dxfId="2015">
      <pivotArea dataOnly="0" labelOnly="1" outline="0" axis="axisValues" fieldPosition="0"/>
    </format>
    <format dxfId="2014">
      <pivotArea dataOnly="0" labelOnly="1" fieldPosition="0">
        <references count="1">
          <reference field="2" count="0"/>
        </references>
      </pivotArea>
    </format>
    <format dxfId="2013">
      <pivotArea dataOnly="0" labelOnly="1" grandRow="1" outline="0" fieldPosition="0"/>
    </format>
    <format dxfId="2012">
      <pivotArea dataOnly="0" labelOnly="1" outline="0" axis="axisValues" fieldPosition="0"/>
    </format>
    <format dxfId="2011">
      <pivotArea type="all" dataOnly="0" outline="0" fieldPosition="0"/>
    </format>
    <format dxfId="2010">
      <pivotArea outline="0" collapsedLevelsAreSubtotals="1" fieldPosition="0"/>
    </format>
    <format dxfId="2009">
      <pivotArea field="2" type="button" dataOnly="0" labelOnly="1" outline="0" axis="axisRow" fieldPosition="0"/>
    </format>
    <format dxfId="2008">
      <pivotArea dataOnly="0" labelOnly="1" outline="0" axis="axisValues" fieldPosition="0"/>
    </format>
    <format dxfId="2007">
      <pivotArea dataOnly="0" labelOnly="1" fieldPosition="0">
        <references count="1">
          <reference field="2" count="0"/>
        </references>
      </pivotArea>
    </format>
    <format dxfId="2006">
      <pivotArea dataOnly="0" labelOnly="1" grandRow="1" outline="0" fieldPosition="0"/>
    </format>
    <format dxfId="2005">
      <pivotArea dataOnly="0" labelOnly="1" outline="0" axis="axisValues" fieldPosition="0"/>
    </format>
    <format dxfId="2004">
      <pivotArea type="all" dataOnly="0" outline="0" fieldPosition="0"/>
    </format>
    <format dxfId="2003">
      <pivotArea outline="0" collapsedLevelsAreSubtotals="1" fieldPosition="0"/>
    </format>
    <format dxfId="2002">
      <pivotArea field="2" type="button" dataOnly="0" labelOnly="1" outline="0" axis="axisRow" fieldPosition="0"/>
    </format>
    <format dxfId="2001">
      <pivotArea dataOnly="0" labelOnly="1" outline="0" axis="axisValues" fieldPosition="0"/>
    </format>
    <format dxfId="2000">
      <pivotArea dataOnly="0" labelOnly="1" fieldPosition="0">
        <references count="1">
          <reference field="2" count="0"/>
        </references>
      </pivotArea>
    </format>
    <format dxfId="1999">
      <pivotArea dataOnly="0" labelOnly="1" grandRow="1" outline="0" fieldPosition="0"/>
    </format>
    <format dxfId="1998">
      <pivotArea dataOnly="0" labelOnly="1" outline="0" axis="axisValues" fieldPosition="0"/>
    </format>
    <format dxfId="1997">
      <pivotArea type="all" dataOnly="0" outline="0" fieldPosition="0"/>
    </format>
    <format dxfId="1996">
      <pivotArea outline="0" collapsedLevelsAreSubtotals="1" fieldPosition="0"/>
    </format>
    <format dxfId="1995">
      <pivotArea field="2" type="button" dataOnly="0" labelOnly="1" outline="0" axis="axisRow" fieldPosition="0"/>
    </format>
    <format dxfId="1994">
      <pivotArea dataOnly="0" labelOnly="1" outline="0" axis="axisValues" fieldPosition="0"/>
    </format>
    <format dxfId="1993">
      <pivotArea dataOnly="0" labelOnly="1" fieldPosition="0">
        <references count="1">
          <reference field="2" count="0"/>
        </references>
      </pivotArea>
    </format>
    <format dxfId="1992">
      <pivotArea dataOnly="0" labelOnly="1" grandRow="1" outline="0" fieldPosition="0"/>
    </format>
    <format dxfId="1991">
      <pivotArea dataOnly="0" labelOnly="1" outline="0" axis="axisValues" fieldPosition="0"/>
    </format>
    <format dxfId="1990">
      <pivotArea type="all" dataOnly="0" outline="0" fieldPosition="0"/>
    </format>
    <format dxfId="1989">
      <pivotArea outline="0" collapsedLevelsAreSubtotals="1" fieldPosition="0"/>
    </format>
    <format dxfId="1988">
      <pivotArea field="2" type="button" dataOnly="0" labelOnly="1" outline="0" axis="axisRow" fieldPosition="0"/>
    </format>
    <format dxfId="1987">
      <pivotArea dataOnly="0" labelOnly="1" outline="0" axis="axisValues" fieldPosition="0"/>
    </format>
    <format dxfId="1986">
      <pivotArea dataOnly="0" labelOnly="1" fieldPosition="0">
        <references count="1">
          <reference field="2" count="0"/>
        </references>
      </pivotArea>
    </format>
    <format dxfId="1985">
      <pivotArea dataOnly="0" labelOnly="1" grandRow="1" outline="0" fieldPosition="0"/>
    </format>
    <format dxfId="1984">
      <pivotArea dataOnly="0" labelOnly="1" outline="0" axis="axisValues" fieldPosition="0"/>
    </format>
    <format dxfId="1983">
      <pivotArea type="all" dataOnly="0" outline="0" fieldPosition="0"/>
    </format>
    <format dxfId="1982">
      <pivotArea outline="0" collapsedLevelsAreSubtotals="1" fieldPosition="0"/>
    </format>
    <format dxfId="1981">
      <pivotArea field="2" type="button" dataOnly="0" labelOnly="1" outline="0" axis="axisRow" fieldPosition="0"/>
    </format>
    <format dxfId="1980">
      <pivotArea dataOnly="0" labelOnly="1" outline="0" axis="axisValues" fieldPosition="0"/>
    </format>
    <format dxfId="1979">
      <pivotArea dataOnly="0" labelOnly="1" fieldPosition="0">
        <references count="1">
          <reference field="2" count="0"/>
        </references>
      </pivotArea>
    </format>
    <format dxfId="1978">
      <pivotArea dataOnly="0" labelOnly="1" grandRow="1" outline="0" fieldPosition="0"/>
    </format>
    <format dxfId="1977">
      <pivotArea dataOnly="0" labelOnly="1" outline="0" axis="axisValues" fieldPosition="0"/>
    </format>
    <format dxfId="1976">
      <pivotArea type="all" dataOnly="0" outline="0" fieldPosition="0"/>
    </format>
    <format dxfId="1975">
      <pivotArea outline="0" collapsedLevelsAreSubtotals="1" fieldPosition="0"/>
    </format>
    <format dxfId="1974">
      <pivotArea field="2" type="button" dataOnly="0" labelOnly="1" outline="0" axis="axisRow" fieldPosition="0"/>
    </format>
    <format dxfId="1973">
      <pivotArea dataOnly="0" labelOnly="1" outline="0" axis="axisValues" fieldPosition="0"/>
    </format>
    <format dxfId="1972">
      <pivotArea dataOnly="0" labelOnly="1" fieldPosition="0">
        <references count="1">
          <reference field="2" count="0"/>
        </references>
      </pivotArea>
    </format>
    <format dxfId="1971">
      <pivotArea dataOnly="0" labelOnly="1" grandRow="1" outline="0" fieldPosition="0"/>
    </format>
    <format dxfId="1970">
      <pivotArea dataOnly="0" labelOnly="1" outline="0" axis="axisValues" fieldPosition="0"/>
    </format>
    <format dxfId="1969">
      <pivotArea type="all" dataOnly="0" outline="0" fieldPosition="0"/>
    </format>
    <format dxfId="1968">
      <pivotArea outline="0" collapsedLevelsAreSubtotals="1" fieldPosition="0"/>
    </format>
    <format dxfId="1967">
      <pivotArea field="2" type="button" dataOnly="0" labelOnly="1" outline="0" axis="axisRow" fieldPosition="0"/>
    </format>
    <format dxfId="1966">
      <pivotArea dataOnly="0" labelOnly="1" outline="0" axis="axisValues" fieldPosition="0"/>
    </format>
    <format dxfId="1965">
      <pivotArea dataOnly="0" labelOnly="1" fieldPosition="0">
        <references count="1">
          <reference field="2" count="0"/>
        </references>
      </pivotArea>
    </format>
    <format dxfId="1964">
      <pivotArea dataOnly="0" labelOnly="1" grandRow="1" outline="0" fieldPosition="0"/>
    </format>
    <format dxfId="1963">
      <pivotArea dataOnly="0" labelOnly="1" outline="0" axis="axisValues" fieldPosition="0"/>
    </format>
    <format dxfId="1962">
      <pivotArea collapsedLevelsAreSubtotals="1" fieldPosition="0">
        <references count="1">
          <reference field="2" count="1">
            <x v="0"/>
          </reference>
        </references>
      </pivotArea>
    </format>
    <format dxfId="1961">
      <pivotArea collapsedLevelsAreSubtotals="1" fieldPosition="0">
        <references count="1">
          <reference field="2" count="1">
            <x v="1"/>
          </reference>
        </references>
      </pivotArea>
    </format>
    <format dxfId="1960">
      <pivotArea collapsedLevelsAreSubtotals="1" fieldPosition="0">
        <references count="1">
          <reference field="2" count="1">
            <x v="2"/>
          </reference>
        </references>
      </pivotArea>
    </format>
    <format dxfId="1959">
      <pivotArea collapsedLevelsAreSubtotals="1" fieldPosition="0">
        <references count="1">
          <reference field="2" count="1">
            <x v="3"/>
          </reference>
        </references>
      </pivotArea>
    </format>
    <format dxfId="1958">
      <pivotArea collapsedLevelsAreSubtotals="1" fieldPosition="0">
        <references count="1">
          <reference field="2" count="1">
            <x v="4"/>
          </reference>
        </references>
      </pivotArea>
    </format>
    <format dxfId="1957">
      <pivotArea collapsedLevelsAreSubtotals="1" fieldPosition="0">
        <references count="1">
          <reference field="2" count="1">
            <x v="5"/>
          </reference>
        </references>
      </pivotArea>
    </format>
    <format dxfId="1956">
      <pivotArea collapsedLevelsAreSubtotals="1" fieldPosition="0">
        <references count="1">
          <reference field="2" count="1">
            <x v="6"/>
          </reference>
        </references>
      </pivotArea>
    </format>
    <format dxfId="1955">
      <pivotArea grandRow="1" outline="0" collapsedLevelsAreSubtotals="1" fieldPosition="0"/>
    </format>
    <format dxfId="1954">
      <pivotArea field="2" type="button" dataOnly="0" labelOnly="1" outline="0" axis="axisRow" fieldPosition="0"/>
    </format>
    <format dxfId="1953">
      <pivotArea dataOnly="0" labelOnly="1" outline="0" axis="axisValues" fieldPosition="0"/>
    </format>
    <format dxfId="1952">
      <pivotArea dataOnly="0" labelOnly="1" outline="0" axis="axisValues" fieldPosition="0"/>
    </format>
    <format dxfId="1951">
      <pivotArea field="2" type="button" dataOnly="0" labelOnly="1" outline="0" axis="axisRow" fieldPosition="0"/>
    </format>
    <format dxfId="1950">
      <pivotArea dataOnly="0" labelOnly="1" outline="0" axis="axisValues" fieldPosition="0"/>
    </format>
    <format dxfId="1949">
      <pivotArea dataOnly="0" labelOnly="1" outline="0" axis="axisValues" fieldPosition="0"/>
    </format>
    <format dxfId="1948">
      <pivotArea field="2" type="button" dataOnly="0" labelOnly="1" outline="0" axis="axisRow" fieldPosition="0"/>
    </format>
    <format dxfId="1947">
      <pivotArea dataOnly="0" labelOnly="1" outline="0" axis="axisValues" fieldPosition="0"/>
    </format>
    <format dxfId="1946">
      <pivotArea dataOnly="0" labelOnly="1" outline="0" axis="axisValues" fieldPosition="0"/>
    </format>
    <format dxfId="1945">
      <pivotArea field="2" type="button" dataOnly="0" labelOnly="1" outline="0" axis="axisRow" fieldPosition="0"/>
    </format>
    <format dxfId="1944">
      <pivotArea dataOnly="0" labelOnly="1" outline="0" axis="axisValues" fieldPosition="0"/>
    </format>
    <format dxfId="1943">
      <pivotArea dataOnly="0" labelOnly="1" outline="0" axis="axisValues" fieldPosition="0"/>
    </format>
    <format dxfId="1942">
      <pivotArea field="2" type="button" dataOnly="0" labelOnly="1" outline="0" axis="axisRow" fieldPosition="0"/>
    </format>
    <format dxfId="1941">
      <pivotArea dataOnly="0" labelOnly="1" outline="0" axis="axisValues" fieldPosition="0"/>
    </format>
    <format dxfId="1940">
      <pivotArea dataOnly="0" labelOnly="1" outline="0" axis="axisValues" fieldPosition="0"/>
    </format>
    <format dxfId="1939">
      <pivotArea field="2" type="button" dataOnly="0" labelOnly="1" outline="0" axis="axisRow" fieldPosition="0"/>
    </format>
    <format dxfId="1938">
      <pivotArea dataOnly="0" labelOnly="1" outline="0" axis="axisValues" fieldPosition="0"/>
    </format>
    <format dxfId="1937">
      <pivotArea dataOnly="0" labelOnly="1" outline="0" axis="axisValues" fieldPosition="0"/>
    </format>
    <format dxfId="1936">
      <pivotArea field="2" type="button" dataOnly="0" labelOnly="1" outline="0" axis="axisRow" fieldPosition="0"/>
    </format>
    <format dxfId="1935">
      <pivotArea dataOnly="0" labelOnly="1" outline="0" axis="axisValues" fieldPosition="0"/>
    </format>
    <format dxfId="1934">
      <pivotArea dataOnly="0" labelOnly="1" outline="0" axis="axisValues" fieldPosition="0"/>
    </format>
    <format dxfId="1933">
      <pivotArea field="2" type="button" dataOnly="0" labelOnly="1" outline="0" axis="axisRow" fieldPosition="0"/>
    </format>
    <format dxfId="1932">
      <pivotArea dataOnly="0" labelOnly="1" outline="0" axis="axisValues" fieldPosition="0"/>
    </format>
    <format dxfId="1931">
      <pivotArea dataOnly="0" labelOnly="1" outline="0" axis="axisValues" fieldPosition="0"/>
    </format>
    <format dxfId="1930">
      <pivotArea field="2" type="button" dataOnly="0" labelOnly="1" outline="0" axis="axisRow" fieldPosition="0"/>
    </format>
    <format dxfId="1929">
      <pivotArea dataOnly="0" labelOnly="1" outline="0" axis="axisValues" fieldPosition="0"/>
    </format>
    <format dxfId="1928">
      <pivotArea dataOnly="0" labelOnly="1" outline="0" axis="axisValues" fieldPosition="0"/>
    </format>
    <format dxfId="1927">
      <pivotArea field="2" type="button" dataOnly="0" labelOnly="1" outline="0" axis="axisRow" fieldPosition="0"/>
    </format>
    <format dxfId="1926">
      <pivotArea dataOnly="0" labelOnly="1" outline="0" axis="axisValues" fieldPosition="0"/>
    </format>
    <format dxfId="1925">
      <pivotArea dataOnly="0" labelOnly="1" outline="0" axis="axisValues" fieldPosition="0"/>
    </format>
    <format dxfId="1924">
      <pivotArea field="2" type="button" dataOnly="0" labelOnly="1" outline="0" axis="axisRow" fieldPosition="0"/>
    </format>
    <format dxfId="1923">
      <pivotArea dataOnly="0" labelOnly="1" outline="0" axis="axisValues" fieldPosition="0"/>
    </format>
    <format dxfId="1922">
      <pivotArea dataOnly="0" labelOnly="1" outline="0" axis="axisValues" fieldPosition="0"/>
    </format>
    <format dxfId="1921">
      <pivotArea field="2" type="button" dataOnly="0" labelOnly="1" outline="0" axis="axisRow" fieldPosition="0"/>
    </format>
    <format dxfId="1920">
      <pivotArea dataOnly="0" labelOnly="1" outline="0" axis="axisValues" fieldPosition="0"/>
    </format>
    <format dxfId="1919">
      <pivotArea dataOnly="0" labelOnly="1" outline="0" axis="axisValues" fieldPosition="0"/>
    </format>
    <format dxfId="1918">
      <pivotArea field="2" type="button" dataOnly="0" labelOnly="1" outline="0" axis="axisRow" fieldPosition="0"/>
    </format>
    <format dxfId="1917">
      <pivotArea dataOnly="0" labelOnly="1" outline="0" axis="axisValues" fieldPosition="0"/>
    </format>
    <format dxfId="1916">
      <pivotArea dataOnly="0" labelOnly="1" outline="0" axis="axisValues" fieldPosition="0"/>
    </format>
    <format dxfId="1915">
      <pivotArea field="2" type="button" dataOnly="0" labelOnly="1" outline="0" axis="axisRow" fieldPosition="0"/>
    </format>
    <format dxfId="1914">
      <pivotArea dataOnly="0" labelOnly="1" outline="0" axis="axisValues" fieldPosition="0"/>
    </format>
    <format dxfId="1913">
      <pivotArea dataOnly="0" labelOnly="1" outline="0" axis="axisValues" fieldPosition="0"/>
    </format>
    <format dxfId="1912">
      <pivotArea field="2" type="button" dataOnly="0" labelOnly="1" outline="0" axis="axisRow" fieldPosition="0"/>
    </format>
    <format dxfId="1911">
      <pivotArea dataOnly="0" labelOnly="1" outline="0" axis="axisValues" fieldPosition="0"/>
    </format>
    <format dxfId="1910">
      <pivotArea dataOnly="0" labelOnly="1" outline="0" axis="axisValues" fieldPosition="0"/>
    </format>
    <format dxfId="1909">
      <pivotArea field="2" type="button" dataOnly="0" labelOnly="1" outline="0" axis="axisRow" fieldPosition="0"/>
    </format>
    <format dxfId="1908">
      <pivotArea dataOnly="0" labelOnly="1" outline="0" axis="axisValues" fieldPosition="0"/>
    </format>
    <format dxfId="1907">
      <pivotArea dataOnly="0" labelOnly="1" outline="0" axis="axisValues" fieldPosition="0"/>
    </format>
    <format dxfId="1906">
      <pivotArea field="2" type="button" dataOnly="0" labelOnly="1" outline="0" axis="axisRow" fieldPosition="0"/>
    </format>
    <format dxfId="1905">
      <pivotArea dataOnly="0" labelOnly="1" outline="0" axis="axisValues" fieldPosition="0"/>
    </format>
    <format dxfId="1904">
      <pivotArea dataOnly="0" labelOnly="1" outline="0" axis="axisValues" fieldPosition="0"/>
    </format>
    <format dxfId="1903">
      <pivotArea field="2" type="button" dataOnly="0" labelOnly="1" outline="0" axis="axisRow" fieldPosition="0"/>
    </format>
    <format dxfId="1902">
      <pivotArea dataOnly="0" labelOnly="1" outline="0" axis="axisValues" fieldPosition="0"/>
    </format>
    <format dxfId="1901">
      <pivotArea dataOnly="0" labelOnly="1" outline="0" axis="axisValues" fieldPosition="0"/>
    </format>
    <format dxfId="1900">
      <pivotArea field="2" type="button" dataOnly="0" labelOnly="1" outline="0" axis="axisRow" fieldPosition="0"/>
    </format>
    <format dxfId="1899">
      <pivotArea dataOnly="0" labelOnly="1" outline="0" axis="axisValues" fieldPosition="0"/>
    </format>
    <format dxfId="1898">
      <pivotArea dataOnly="0" labelOnly="1" outline="0" axis="axisValues" fieldPosition="0"/>
    </format>
    <format dxfId="1897">
      <pivotArea field="2" type="button" dataOnly="0" labelOnly="1" outline="0" axis="axisRow" fieldPosition="0"/>
    </format>
    <format dxfId="1896">
      <pivotArea dataOnly="0" labelOnly="1" outline="0" axis="axisValues" fieldPosition="0"/>
    </format>
    <format dxfId="1895">
      <pivotArea dataOnly="0" labelOnly="1" outline="0" axis="axisValues" fieldPosition="0"/>
    </format>
    <format dxfId="1894">
      <pivotArea field="2" type="button" dataOnly="0" labelOnly="1" outline="0" axis="axisRow" fieldPosition="0"/>
    </format>
    <format dxfId="1893">
      <pivotArea dataOnly="0" labelOnly="1" outline="0" axis="axisValues" fieldPosition="0"/>
    </format>
    <format dxfId="1892">
      <pivotArea dataOnly="0" labelOnly="1" outline="0" axis="axisValues" fieldPosition="0"/>
    </format>
    <format dxfId="1891">
      <pivotArea field="2" type="button" dataOnly="0" labelOnly="1" outline="0" axis="axisRow" fieldPosition="0"/>
    </format>
    <format dxfId="1890">
      <pivotArea dataOnly="0" labelOnly="1" outline="0" axis="axisValues" fieldPosition="0"/>
    </format>
    <format dxfId="1889">
      <pivotArea dataOnly="0" labelOnly="1" outline="0" axis="axisValues" fieldPosition="0"/>
    </format>
    <format dxfId="1888">
      <pivotArea collapsedLevelsAreSubtotals="1" fieldPosition="0">
        <references count="1">
          <reference field="2" count="0"/>
        </references>
      </pivotArea>
    </format>
    <format dxfId="1887">
      <pivotArea dataOnly="0" labelOnly="1" fieldPosition="0">
        <references count="1">
          <reference field="2" count="0"/>
        </references>
      </pivotArea>
    </format>
    <format dxfId="1886">
      <pivotArea collapsedLevelsAreSubtotals="1" fieldPosition="0">
        <references count="1">
          <reference field="2" count="0"/>
        </references>
      </pivotArea>
    </format>
    <format dxfId="1885">
      <pivotArea dataOnly="0" labelOnly="1" fieldPosition="0">
        <references count="1">
          <reference field="2" count="0"/>
        </references>
      </pivotArea>
    </format>
    <format dxfId="1884">
      <pivotArea collapsedLevelsAreSubtotals="1" fieldPosition="0">
        <references count="1">
          <reference field="2" count="0"/>
        </references>
      </pivotArea>
    </format>
    <format dxfId="1883">
      <pivotArea dataOnly="0" labelOnly="1" fieldPosition="0">
        <references count="1">
          <reference field="2" count="0"/>
        </references>
      </pivotArea>
    </format>
    <format dxfId="1882">
      <pivotArea collapsedLevelsAreSubtotals="1" fieldPosition="0">
        <references count="1">
          <reference field="2" count="0"/>
        </references>
      </pivotArea>
    </format>
    <format dxfId="1881">
      <pivotArea dataOnly="0" labelOnly="1" fieldPosition="0">
        <references count="1">
          <reference field="2" count="0"/>
        </references>
      </pivotArea>
    </format>
    <format dxfId="1880">
      <pivotArea collapsedLevelsAreSubtotals="1" fieldPosition="0">
        <references count="1">
          <reference field="2" count="0"/>
        </references>
      </pivotArea>
    </format>
    <format dxfId="1879">
      <pivotArea dataOnly="0" labelOnly="1" fieldPosition="0">
        <references count="1">
          <reference field="2" count="0"/>
        </references>
      </pivotArea>
    </format>
    <format dxfId="1878">
      <pivotArea collapsedLevelsAreSubtotals="1" fieldPosition="0">
        <references count="1">
          <reference field="2" count="0"/>
        </references>
      </pivotArea>
    </format>
    <format dxfId="1877">
      <pivotArea dataOnly="0" labelOnly="1" fieldPosition="0">
        <references count="1">
          <reference field="2" count="0"/>
        </references>
      </pivotArea>
    </format>
    <format dxfId="1876">
      <pivotArea collapsedLevelsAreSubtotals="1" fieldPosition="0">
        <references count="1">
          <reference field="2" count="0"/>
        </references>
      </pivotArea>
    </format>
    <format dxfId="1875">
      <pivotArea dataOnly="0" labelOnly="1" fieldPosition="0">
        <references count="1">
          <reference field="2" count="0"/>
        </references>
      </pivotArea>
    </format>
    <format dxfId="1874">
      <pivotArea collapsedLevelsAreSubtotals="1" fieldPosition="0">
        <references count="1">
          <reference field="2" count="0"/>
        </references>
      </pivotArea>
    </format>
    <format dxfId="1873">
      <pivotArea dataOnly="0" labelOnly="1" fieldPosition="0">
        <references count="1">
          <reference field="2" count="0"/>
        </references>
      </pivotArea>
    </format>
    <format dxfId="1872">
      <pivotArea collapsedLevelsAreSubtotals="1" fieldPosition="0">
        <references count="1">
          <reference field="2" count="0"/>
        </references>
      </pivotArea>
    </format>
    <format dxfId="1871">
      <pivotArea dataOnly="0" labelOnly="1" fieldPosition="0">
        <references count="1">
          <reference field="2" count="0"/>
        </references>
      </pivotArea>
    </format>
    <format dxfId="1870">
      <pivotArea dataOnly="0" labelOnly="1" fieldPosition="0">
        <references count="1">
          <reference field="2" count="1">
            <x v="0"/>
          </reference>
        </references>
      </pivotArea>
    </format>
    <format dxfId="1869">
      <pivotArea collapsedLevelsAreSubtotals="1" fieldPosition="0">
        <references count="1">
          <reference field="2" count="1">
            <x v="0"/>
          </reference>
        </references>
      </pivotArea>
    </format>
    <format dxfId="1868">
      <pivotArea dataOnly="0" labelOnly="1" fieldPosition="0">
        <references count="1">
          <reference field="2" count="1">
            <x v="1"/>
          </reference>
        </references>
      </pivotArea>
    </format>
    <format dxfId="1867">
      <pivotArea collapsedLevelsAreSubtotals="1" fieldPosition="0">
        <references count="1">
          <reference field="2" count="1">
            <x v="1"/>
          </reference>
        </references>
      </pivotArea>
    </format>
    <format dxfId="1866">
      <pivotArea dataOnly="0" labelOnly="1" fieldPosition="0">
        <references count="1">
          <reference field="2" count="1">
            <x v="2"/>
          </reference>
        </references>
      </pivotArea>
    </format>
    <format dxfId="1865">
      <pivotArea collapsedLevelsAreSubtotals="1" fieldPosition="0">
        <references count="1">
          <reference field="2" count="1">
            <x v="2"/>
          </reference>
        </references>
      </pivotArea>
    </format>
    <format dxfId="1864">
      <pivotArea dataOnly="0" labelOnly="1" fieldPosition="0">
        <references count="1">
          <reference field="2" count="1">
            <x v="3"/>
          </reference>
        </references>
      </pivotArea>
    </format>
    <format dxfId="1863">
      <pivotArea collapsedLevelsAreSubtotals="1" fieldPosition="0">
        <references count="1">
          <reference field="2" count="1">
            <x v="3"/>
          </reference>
        </references>
      </pivotArea>
    </format>
    <format dxfId="1862">
      <pivotArea dataOnly="0" labelOnly="1" fieldPosition="0">
        <references count="1">
          <reference field="2" count="1">
            <x v="4"/>
          </reference>
        </references>
      </pivotArea>
    </format>
    <format dxfId="1861">
      <pivotArea collapsedLevelsAreSubtotals="1" fieldPosition="0">
        <references count="1">
          <reference field="2" count="1">
            <x v="4"/>
          </reference>
        </references>
      </pivotArea>
    </format>
    <format dxfId="1860">
      <pivotArea dataOnly="0" labelOnly="1" fieldPosition="0">
        <references count="1">
          <reference field="2" count="1">
            <x v="5"/>
          </reference>
        </references>
      </pivotArea>
    </format>
    <format dxfId="1859">
      <pivotArea collapsedLevelsAreSubtotals="1" fieldPosition="0">
        <references count="1">
          <reference field="2" count="1">
            <x v="5"/>
          </reference>
        </references>
      </pivotArea>
    </format>
    <format dxfId="1858">
      <pivotArea dataOnly="0" labelOnly="1" fieldPosition="0">
        <references count="1">
          <reference field="2" count="1">
            <x v="6"/>
          </reference>
        </references>
      </pivotArea>
    </format>
    <format dxfId="1857">
      <pivotArea collapsedLevelsAreSubtotals="1" fieldPosition="0">
        <references count="1">
          <reference field="2" count="1">
            <x v="6"/>
          </reference>
        </references>
      </pivotArea>
    </format>
    <format dxfId="1856">
      <pivotArea collapsedLevelsAreSubtotals="1" fieldPosition="0">
        <references count="1">
          <reference field="2" count="0"/>
        </references>
      </pivotArea>
    </format>
    <format dxfId="1855">
      <pivotArea dataOnly="0" labelOnly="1" fieldPosition="0">
        <references count="1">
          <reference field="2" count="0"/>
        </references>
      </pivotArea>
    </format>
    <format dxfId="1854">
      <pivotArea collapsedLevelsAreSubtotals="1" fieldPosition="0">
        <references count="1">
          <reference field="2" count="0"/>
        </references>
      </pivotArea>
    </format>
    <format dxfId="1853">
      <pivotArea dataOnly="0" labelOnly="1" fieldPosition="0">
        <references count="1">
          <reference field="2" count="0"/>
        </references>
      </pivotArea>
    </format>
    <format dxfId="1852">
      <pivotArea collapsedLevelsAreSubtotals="1" fieldPosition="0">
        <references count="1">
          <reference field="2" count="0"/>
        </references>
      </pivotArea>
    </format>
    <format dxfId="1851">
      <pivotArea dataOnly="0" labelOnly="1" fieldPosition="0">
        <references count="1">
          <reference field="2" count="0"/>
        </references>
      </pivotArea>
    </format>
    <format dxfId="1850">
      <pivotArea collapsedLevelsAreSubtotals="1" fieldPosition="0">
        <references count="1">
          <reference field="2" count="0"/>
        </references>
      </pivotArea>
    </format>
    <format dxfId="1849">
      <pivotArea dataOnly="0" labelOnly="1" fieldPosition="0">
        <references count="1">
          <reference field="2" count="0"/>
        </references>
      </pivotArea>
    </format>
    <format dxfId="1848">
      <pivotArea collapsedLevelsAreSubtotals="1" fieldPosition="0">
        <references count="1">
          <reference field="2" count="0"/>
        </references>
      </pivotArea>
    </format>
    <format dxfId="1847">
      <pivotArea dataOnly="0" labelOnly="1" fieldPosition="0">
        <references count="1">
          <reference field="2" count="0"/>
        </references>
      </pivotArea>
    </format>
    <format dxfId="1846">
      <pivotArea collapsedLevelsAreSubtotals="1" fieldPosition="0">
        <references count="1">
          <reference field="2" count="0"/>
        </references>
      </pivotArea>
    </format>
    <format dxfId="1845">
      <pivotArea dataOnly="0" labelOnly="1" fieldPosition="0">
        <references count="1">
          <reference field="2" count="0"/>
        </references>
      </pivotArea>
    </format>
    <format dxfId="1844">
      <pivotArea collapsedLevelsAreSubtotals="1" fieldPosition="0">
        <references count="1">
          <reference field="2" count="0"/>
        </references>
      </pivotArea>
    </format>
    <format dxfId="1843">
      <pivotArea dataOnly="0" labelOnly="1" fieldPosition="0">
        <references count="1">
          <reference field="2" count="0"/>
        </references>
      </pivotArea>
    </format>
    <format dxfId="1842">
      <pivotArea collapsedLevelsAreSubtotals="1" fieldPosition="0">
        <references count="1">
          <reference field="2" count="0"/>
        </references>
      </pivotArea>
    </format>
    <format dxfId="1841">
      <pivotArea dataOnly="0" labelOnly="1" fieldPosition="0">
        <references count="1">
          <reference field="2" count="0"/>
        </references>
      </pivotArea>
    </format>
    <format dxfId="1840">
      <pivotArea collapsedLevelsAreSubtotals="1" fieldPosition="0">
        <references count="1">
          <reference field="2" count="0"/>
        </references>
      </pivotArea>
    </format>
    <format dxfId="1839">
      <pivotArea dataOnly="0" labelOnly="1" fieldPosition="0">
        <references count="1">
          <reference field="2" count="0"/>
        </references>
      </pivotArea>
    </format>
    <format dxfId="1838">
      <pivotArea collapsedLevelsAreSubtotals="1" fieldPosition="0">
        <references count="1">
          <reference field="2" count="0"/>
        </references>
      </pivotArea>
    </format>
    <format dxfId="1837">
      <pivotArea dataOnly="0" labelOnly="1" fieldPosition="0">
        <references count="1">
          <reference field="2" count="0"/>
        </references>
      </pivotArea>
    </format>
    <format dxfId="1836">
      <pivotArea collapsedLevelsAreSubtotals="1" fieldPosition="0">
        <references count="1">
          <reference field="2" count="0"/>
        </references>
      </pivotArea>
    </format>
    <format dxfId="1835">
      <pivotArea dataOnly="0" labelOnly="1" fieldPosition="0">
        <references count="1">
          <reference field="2" count="0"/>
        </references>
      </pivotArea>
    </format>
    <format dxfId="1834">
      <pivotArea collapsedLevelsAreSubtotals="1" fieldPosition="0">
        <references count="1">
          <reference field="2" count="0"/>
        </references>
      </pivotArea>
    </format>
    <format dxfId="1833">
      <pivotArea dataOnly="0" labelOnly="1" fieldPosition="0">
        <references count="1">
          <reference field="2" count="0"/>
        </references>
      </pivotArea>
    </format>
    <format dxfId="1832">
      <pivotArea grandRow="1" outline="0" collapsedLevelsAreSubtotals="1" fieldPosition="0"/>
    </format>
    <format dxfId="1831">
      <pivotArea dataOnly="0" labelOnly="1" grandRow="1" outline="0" fieldPosition="0"/>
    </format>
    <format dxfId="1830">
      <pivotArea grandRow="1" outline="0" collapsedLevelsAreSubtotals="1" fieldPosition="0"/>
    </format>
    <format dxfId="1829">
      <pivotArea dataOnly="0" labelOnly="1" grandRow="1" outline="0" fieldPosition="0"/>
    </format>
    <format dxfId="1828">
      <pivotArea grandRow="1" outline="0" collapsedLevelsAreSubtotals="1" fieldPosition="0"/>
    </format>
    <format dxfId="1827">
      <pivotArea dataOnly="0" labelOnly="1" grandRow="1" outline="0" fieldPosition="0"/>
    </format>
    <format dxfId="1826">
      <pivotArea grandRow="1" outline="0" collapsedLevelsAreSubtotals="1" fieldPosition="0"/>
    </format>
    <format dxfId="1825">
      <pivotArea dataOnly="0" labelOnly="1" grandRow="1" outline="0" fieldPosition="0"/>
    </format>
    <format dxfId="1824">
      <pivotArea grandRow="1" outline="0" collapsedLevelsAreSubtotals="1" fieldPosition="0"/>
    </format>
    <format dxfId="1823">
      <pivotArea dataOnly="0" labelOnly="1" grandRow="1" outline="0" fieldPosition="0"/>
    </format>
    <format dxfId="1822">
      <pivotArea grandRow="1" outline="0" collapsedLevelsAreSubtotals="1" fieldPosition="0"/>
    </format>
    <format dxfId="1821">
      <pivotArea dataOnly="0" labelOnly="1" grandRow="1" outline="0" fieldPosition="0"/>
    </format>
    <format dxfId="1820">
      <pivotArea grandRow="1" outline="0" collapsedLevelsAreSubtotals="1" fieldPosition="0"/>
    </format>
    <format dxfId="1819">
      <pivotArea dataOnly="0" labelOnly="1" grandRow="1" outline="0" fieldPosition="0"/>
    </format>
    <format dxfId="1818">
      <pivotArea grandRow="1" outline="0" collapsedLevelsAreSubtotals="1" fieldPosition="0"/>
    </format>
    <format dxfId="1817">
      <pivotArea dataOnly="0" labelOnly="1" grandRow="1" outline="0" fieldPosition="0"/>
    </format>
    <format dxfId="1816">
      <pivotArea grandRow="1" outline="0" collapsedLevelsAreSubtotals="1" fieldPosition="0"/>
    </format>
    <format dxfId="1815">
      <pivotArea dataOnly="0" labelOnly="1" grandRow="1" outline="0" fieldPosition="0"/>
    </format>
    <format dxfId="1814">
      <pivotArea dataOnly="0" labelOnly="1" grandRow="1" outline="0" fieldPosition="0"/>
    </format>
    <format dxfId="1813">
      <pivotArea grandRow="1" outline="0" collapsedLevelsAreSubtotals="1" fieldPosition="0"/>
    </format>
    <format dxfId="1812">
      <pivotArea grandRow="1" outline="0" collapsedLevelsAreSubtotals="1" fieldPosition="0"/>
    </format>
    <format dxfId="1811">
      <pivotArea dataOnly="0" labelOnly="1" grandRow="1" outline="0" fieldPosition="0"/>
    </format>
    <format dxfId="1810">
      <pivotArea grandRow="1" outline="0" collapsedLevelsAreSubtotals="1" fieldPosition="0"/>
    </format>
    <format dxfId="1809">
      <pivotArea dataOnly="0" labelOnly="1" grandRow="1" outline="0" fieldPosition="0"/>
    </format>
    <format dxfId="1808">
      <pivotArea grandRow="1" outline="0" collapsedLevelsAreSubtotals="1" fieldPosition="0"/>
    </format>
    <format dxfId="1807">
      <pivotArea dataOnly="0" labelOnly="1" grandRow="1" outline="0" fieldPosition="0"/>
    </format>
    <format dxfId="1806">
      <pivotArea grandRow="1" outline="0" collapsedLevelsAreSubtotals="1" fieldPosition="0"/>
    </format>
    <format dxfId="1805">
      <pivotArea dataOnly="0" labelOnly="1" grandRow="1" outline="0" fieldPosition="0"/>
    </format>
    <format dxfId="1804">
      <pivotArea grandRow="1" outline="0" collapsedLevelsAreSubtotals="1" fieldPosition="0"/>
    </format>
    <format dxfId="1803">
      <pivotArea dataOnly="0" labelOnly="1" grandRow="1" outline="0" fieldPosition="0"/>
    </format>
    <format dxfId="1802">
      <pivotArea grandRow="1" outline="0" collapsedLevelsAreSubtotals="1" fieldPosition="0"/>
    </format>
    <format dxfId="1801">
      <pivotArea dataOnly="0" labelOnly="1" grandRow="1" outline="0" fieldPosition="0"/>
    </format>
    <format dxfId="1800">
      <pivotArea grandRow="1" outline="0" collapsedLevelsAreSubtotals="1" fieldPosition="0"/>
    </format>
    <format dxfId="1799">
      <pivotArea dataOnly="0" labelOnly="1" grandRow="1" outline="0" fieldPosition="0"/>
    </format>
    <format dxfId="1798">
      <pivotArea grandRow="1" outline="0" collapsedLevelsAreSubtotals="1" fieldPosition="0"/>
    </format>
    <format dxfId="1797">
      <pivotArea dataOnly="0" labelOnly="1" grandRow="1" outline="0" fieldPosition="0"/>
    </format>
    <format dxfId="1796">
      <pivotArea grandRow="1" outline="0" collapsedLevelsAreSubtotals="1" fieldPosition="0"/>
    </format>
    <format dxfId="1795">
      <pivotArea dataOnly="0" labelOnly="1" grandRow="1" outline="0" fieldPosition="0"/>
    </format>
    <format dxfId="1794">
      <pivotArea grandRow="1" outline="0" collapsedLevelsAreSubtotals="1" fieldPosition="0"/>
    </format>
    <format dxfId="1793">
      <pivotArea dataOnly="0" labelOnly="1" grandRow="1" outline="0" fieldPosition="0"/>
    </format>
    <format dxfId="1792">
      <pivotArea grandRow="1" outline="0" collapsedLevelsAreSubtotals="1" fieldPosition="0"/>
    </format>
    <format dxfId="1791">
      <pivotArea dataOnly="0" labelOnly="1" grandRow="1" outline="0" fieldPosition="0"/>
    </format>
    <format dxfId="1790">
      <pivotArea grandRow="1" outline="0" collapsedLevelsAreSubtotals="1" fieldPosition="0"/>
    </format>
    <format dxfId="1789">
      <pivotArea dataOnly="0" labelOnly="1" grandRow="1" outline="0" fieldPosition="0"/>
    </format>
    <format dxfId="1788">
      <pivotArea outline="0" collapsedLevelsAreSubtotals="1" fieldPosition="0"/>
    </format>
    <format dxfId="1787">
      <pivotArea outline="0" collapsedLevelsAreSubtotals="1" fieldPosition="0"/>
    </format>
    <format dxfId="1786">
      <pivotArea outline="0" collapsedLevelsAreSubtotals="1" fieldPosition="0"/>
    </format>
    <format dxfId="1785">
      <pivotArea outline="0" collapsedLevelsAreSubtotals="1" fieldPosition="0"/>
    </format>
    <format dxfId="1784">
      <pivotArea outline="0" collapsedLevelsAreSubtotals="1" fieldPosition="0"/>
    </format>
    <format dxfId="1783">
      <pivotArea outline="0" collapsedLevelsAreSubtotals="1" fieldPosition="0"/>
    </format>
    <format dxfId="1782">
      <pivotArea outline="0" collapsedLevelsAreSubtotals="1" fieldPosition="0"/>
    </format>
    <format dxfId="1781">
      <pivotArea outline="0" collapsedLevelsAreSubtotals="1" fieldPosition="0"/>
    </format>
    <format dxfId="1780">
      <pivotArea outline="0" collapsedLevelsAreSubtotals="1" fieldPosition="0"/>
    </format>
    <format dxfId="1779">
      <pivotArea collapsedLevelsAreSubtotals="1" fieldPosition="0">
        <references count="1">
          <reference field="2" count="1">
            <x v="0"/>
          </reference>
        </references>
      </pivotArea>
    </format>
    <format dxfId="1778">
      <pivotArea collapsedLevelsAreSubtotals="1" fieldPosition="0">
        <references count="1">
          <reference field="2" count="1">
            <x v="1"/>
          </reference>
        </references>
      </pivotArea>
    </format>
    <format dxfId="1777">
      <pivotArea collapsedLevelsAreSubtotals="1" fieldPosition="0">
        <references count="1">
          <reference field="2" count="1">
            <x v="2"/>
          </reference>
        </references>
      </pivotArea>
    </format>
    <format dxfId="1776">
      <pivotArea collapsedLevelsAreSubtotals="1" fieldPosition="0">
        <references count="1">
          <reference field="2" count="1">
            <x v="3"/>
          </reference>
        </references>
      </pivotArea>
    </format>
    <format dxfId="1775">
      <pivotArea collapsedLevelsAreSubtotals="1" fieldPosition="0">
        <references count="1">
          <reference field="2" count="1">
            <x v="4"/>
          </reference>
        </references>
      </pivotArea>
    </format>
    <format dxfId="1774">
      <pivotArea collapsedLevelsAreSubtotals="1" fieldPosition="0">
        <references count="1">
          <reference field="2" count="1">
            <x v="5"/>
          </reference>
        </references>
      </pivotArea>
    </format>
    <format dxfId="1773">
      <pivotArea collapsedLevelsAreSubtotals="1" fieldPosition="0">
        <references count="1">
          <reference field="2" count="1">
            <x v="6"/>
          </reference>
        </references>
      </pivotArea>
    </format>
    <format dxfId="1772">
      <pivotArea grandRow="1" outline="0" collapsedLevelsAreSubtotals="1" fieldPosition="0"/>
    </format>
    <format dxfId="1771">
      <pivotArea outline="0" collapsedLevelsAreSubtotals="1" fieldPosition="0"/>
    </format>
    <format dxfId="1770">
      <pivotArea outline="0" collapsedLevelsAreSubtotals="1" fieldPosition="0"/>
    </format>
    <format dxfId="1769">
      <pivotArea outline="0" collapsedLevelsAreSubtotals="1" fieldPosition="0"/>
    </format>
    <format dxfId="1768">
      <pivotArea outline="0" collapsedLevelsAreSubtotals="1" fieldPosition="0"/>
    </format>
    <format dxfId="1767">
      <pivotArea outline="0" collapsedLevelsAreSubtotals="1" fieldPosition="0"/>
    </format>
    <format dxfId="1766">
      <pivotArea outline="0" collapsedLevelsAreSubtotals="1" fieldPosition="0"/>
    </format>
    <format dxfId="1765">
      <pivotArea outline="0" collapsedLevelsAreSubtotals="1" fieldPosition="0"/>
    </format>
    <format dxfId="1764">
      <pivotArea outline="0" collapsedLevelsAreSubtotals="1" fieldPosition="0"/>
    </format>
    <format dxfId="1763">
      <pivotArea outline="0" collapsedLevelsAreSubtotals="1" fieldPosition="0"/>
    </format>
    <format dxfId="1762">
      <pivotArea outline="0" collapsedLevelsAreSubtotals="1" fieldPosition="0"/>
    </format>
    <format dxfId="1761">
      <pivotArea outline="0" collapsedLevelsAreSubtotals="1" fieldPosition="0"/>
    </format>
    <format dxfId="1760">
      <pivotArea outline="0" collapsedLevelsAreSubtotals="1" fieldPosition="0"/>
    </format>
    <format dxfId="1759">
      <pivotArea grandRow="1" outline="0" collapsedLevelsAreSubtotals="1" fieldPosition="0"/>
    </format>
    <format dxfId="1758">
      <pivotArea dataOnly="0" labelOnly="1" grandRow="1" outline="0" fieldPosition="0"/>
    </format>
    <format dxfId="1757">
      <pivotArea grandRow="1" outline="0" collapsedLevelsAreSubtotals="1" fieldPosition="0"/>
    </format>
    <format dxfId="1756">
      <pivotArea dataOnly="0" labelOnly="1" grandRow="1" outline="0" fieldPosition="0"/>
    </format>
    <format dxfId="1755">
      <pivotArea grandRow="1" outline="0" collapsedLevelsAreSubtotals="1" fieldPosition="0"/>
    </format>
    <format dxfId="1754">
      <pivotArea dataOnly="0" labelOnly="1" grandRow="1" outline="0" fieldPosition="0"/>
    </format>
    <format dxfId="1753">
      <pivotArea grandRow="1" outline="0" collapsedLevelsAreSubtotals="1" fieldPosition="0"/>
    </format>
    <format dxfId="1752">
      <pivotArea dataOnly="0" labelOnly="1" grandRow="1" outline="0" fieldPosition="0"/>
    </format>
    <format dxfId="1751">
      <pivotArea grandRow="1" outline="0" collapsedLevelsAreSubtotals="1" fieldPosition="0"/>
    </format>
    <format dxfId="1750">
      <pivotArea dataOnly="0" labelOnly="1" grandRow="1" outline="0" fieldPosition="0"/>
    </format>
    <format dxfId="1749">
      <pivotArea grandRow="1" outline="0" collapsedLevelsAreSubtotals="1" fieldPosition="0"/>
    </format>
    <format dxfId="1748">
      <pivotArea dataOnly="0" labelOnly="1" grandRow="1" outline="0" fieldPosition="0"/>
    </format>
    <format dxfId="1747">
      <pivotArea grandRow="1" outline="0" collapsedLevelsAreSubtotals="1" fieldPosition="0"/>
    </format>
    <format dxfId="1746">
      <pivotArea dataOnly="0" labelOnly="1" grandRow="1" outline="0" fieldPosition="0"/>
    </format>
    <format dxfId="1745">
      <pivotArea grandRow="1" outline="0" collapsedLevelsAreSubtotals="1" fieldPosition="0"/>
    </format>
    <format dxfId="1744">
      <pivotArea dataOnly="0" labelOnly="1" grandRow="1" outline="0" fieldPosition="0"/>
    </format>
    <format dxfId="1743">
      <pivotArea grandRow="1" outline="0" collapsedLevelsAreSubtotals="1" fieldPosition="0"/>
    </format>
    <format dxfId="1742">
      <pivotArea dataOnly="0" labelOnly="1" grandRow="1" outline="0" fieldPosition="0"/>
    </format>
    <format dxfId="1741">
      <pivotArea dataOnly="0" labelOnly="1" grandRow="1" outline="0" fieldPosition="0"/>
    </format>
    <format dxfId="1740">
      <pivotArea grandRow="1" outline="0" collapsedLevelsAreSubtotals="1" fieldPosition="0"/>
    </format>
    <format dxfId="1739">
      <pivotArea grandRow="1" outline="0" collapsedLevelsAreSubtotals="1" fieldPosition="0"/>
    </format>
    <format dxfId="1738">
      <pivotArea dataOnly="0" labelOnly="1" grandRow="1" outline="0" fieldPosition="0"/>
    </format>
    <format dxfId="1737">
      <pivotArea grandRow="1" outline="0" collapsedLevelsAreSubtotals="1" fieldPosition="0"/>
    </format>
    <format dxfId="1736">
      <pivotArea dataOnly="0" labelOnly="1" grandRow="1" outline="0" fieldPosition="0"/>
    </format>
    <format dxfId="1735">
      <pivotArea grandRow="1" outline="0" collapsedLevelsAreSubtotals="1" fieldPosition="0"/>
    </format>
    <format dxfId="1734">
      <pivotArea dataOnly="0" labelOnly="1" grandRow="1" outline="0" fieldPosition="0"/>
    </format>
    <format dxfId="1733">
      <pivotArea grandRow="1" outline="0" collapsedLevelsAreSubtotals="1" fieldPosition="0"/>
    </format>
    <format dxfId="1732">
      <pivotArea dataOnly="0" labelOnly="1" grandRow="1" outline="0" fieldPosition="0"/>
    </format>
    <format dxfId="1731">
      <pivotArea grandRow="1" outline="0" collapsedLevelsAreSubtotals="1" fieldPosition="0"/>
    </format>
    <format dxfId="1730">
      <pivotArea dataOnly="0" labelOnly="1" grandRow="1" outline="0" fieldPosition="0"/>
    </format>
    <format dxfId="1729">
      <pivotArea grandRow="1" outline="0" collapsedLevelsAreSubtotals="1" fieldPosition="0"/>
    </format>
    <format dxfId="1728">
      <pivotArea dataOnly="0" labelOnly="1" grandRow="1" outline="0" fieldPosition="0"/>
    </format>
    <format dxfId="1727">
      <pivotArea grandRow="1" outline="0" collapsedLevelsAreSubtotals="1" fieldPosition="0"/>
    </format>
    <format dxfId="1726">
      <pivotArea dataOnly="0" labelOnly="1" grandRow="1" outline="0" fieldPosition="0"/>
    </format>
    <format dxfId="1725">
      <pivotArea grandRow="1" outline="0" collapsedLevelsAreSubtotals="1" fieldPosition="0"/>
    </format>
    <format dxfId="1724">
      <pivotArea dataOnly="0" labelOnly="1" grandRow="1" outline="0" fieldPosition="0"/>
    </format>
    <format dxfId="1723">
      <pivotArea grandRow="1" outline="0" collapsedLevelsAreSubtotals="1" fieldPosition="0"/>
    </format>
    <format dxfId="1722">
      <pivotArea dataOnly="0" labelOnly="1" grandRow="1" outline="0" fieldPosition="0"/>
    </format>
    <format dxfId="1721">
      <pivotArea grandRow="1" outline="0" collapsedLevelsAreSubtotals="1" fieldPosition="0"/>
    </format>
    <format dxfId="1720">
      <pivotArea dataOnly="0" labelOnly="1" grandRow="1" outline="0" fieldPosition="0"/>
    </format>
    <format dxfId="1719">
      <pivotArea grandRow="1" outline="0" collapsedLevelsAreSubtotals="1" fieldPosition="0"/>
    </format>
    <format dxfId="1718">
      <pivotArea dataOnly="0" labelOnly="1" grandRow="1" outline="0" fieldPosition="0"/>
    </format>
    <format dxfId="1717">
      <pivotArea grandRow="1" outline="0" collapsedLevelsAreSubtotals="1" fieldPosition="0"/>
    </format>
    <format dxfId="1716">
      <pivotArea dataOnly="0" labelOnly="1" grandRow="1" outline="0" fieldPosition="0"/>
    </format>
    <format dxfId="1715">
      <pivotArea dataOnly="0" labelOnly="1" grandRow="1" outline="0" fieldPosition="0"/>
    </format>
    <format dxfId="1714">
      <pivotArea dataOnly="0" labelOnly="1" grandRow="1" outline="0" fieldPosition="0"/>
    </format>
    <format dxfId="1713">
      <pivotArea dataOnly="0" labelOnly="1" grandRow="1" outline="0" fieldPosition="0"/>
    </format>
    <format dxfId="1712">
      <pivotArea dataOnly="0" labelOnly="1" grandRow="1" outline="0" fieldPosition="0"/>
    </format>
    <format dxfId="1711">
      <pivotArea dataOnly="0" labelOnly="1" grandRow="1" outline="0" fieldPosition="0"/>
    </format>
  </formats>
  <chartFormats count="3">
    <chartFormat chart="6" format="1"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C0A3E72-B880-4291-917F-C04A74D6AEDC}"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C4" firstHeaderRow="0" firstDataRow="1" firstDataCol="0"/>
  <pivotFields count="7">
    <pivotField dataField="1" showAll="0"/>
    <pivotField showAll="0"/>
    <pivotField showAll="0">
      <items count="8">
        <item x="3"/>
        <item x="4"/>
        <item x="2"/>
        <item x="6"/>
        <item x="5"/>
        <item x="1"/>
        <item x="0"/>
        <item t="default"/>
      </items>
    </pivotField>
    <pivotField showAll="0"/>
    <pivotField dataField="1" showAll="0"/>
    <pivotField showAll="0">
      <items count="5">
        <item x="2"/>
        <item x="0"/>
        <item x="1"/>
        <item x="3"/>
        <item t="default"/>
      </items>
    </pivotField>
    <pivotField dataField="1" showAll="0"/>
  </pivotFields>
  <rowItems count="1">
    <i/>
  </rowItems>
  <colFields count="1">
    <field x="-2"/>
  </colFields>
  <colItems count="3">
    <i>
      <x/>
    </i>
    <i i="1">
      <x v="1"/>
    </i>
    <i i="2">
      <x v="2"/>
    </i>
  </colItems>
  <dataFields count="3">
    <dataField name="Average of Delivery_Days" fld="6" subtotal="average" baseField="0" baseItem="9"/>
    <dataField name="Average of Quantity" fld="4" subtotal="average" baseField="0" baseItem="1"/>
    <dataField name="Count of Order_ID" fld="0" subtotal="count" baseField="0" baseItem="1"/>
  </dataFields>
  <formats count="205">
    <format dxfId="2497">
      <pivotArea type="all" dataOnly="0" outline="0" fieldPosition="0"/>
    </format>
    <format dxfId="2496">
      <pivotArea outline="0" collapsedLevelsAreSubtotals="1" fieldPosition="0"/>
    </format>
    <format dxfId="2495">
      <pivotArea dataOnly="0" labelOnly="1" outline="0" fieldPosition="0">
        <references count="1">
          <reference field="4294967294" count="3">
            <x v="0"/>
            <x v="1"/>
            <x v="2"/>
          </reference>
        </references>
      </pivotArea>
    </format>
    <format dxfId="2494">
      <pivotArea type="all" dataOnly="0" outline="0" fieldPosition="0"/>
    </format>
    <format dxfId="2493">
      <pivotArea outline="0" collapsedLevelsAreSubtotals="1" fieldPosition="0"/>
    </format>
    <format dxfId="2492">
      <pivotArea dataOnly="0" labelOnly="1" outline="0" fieldPosition="0">
        <references count="1">
          <reference field="4294967294" count="3">
            <x v="0"/>
            <x v="1"/>
            <x v="2"/>
          </reference>
        </references>
      </pivotArea>
    </format>
    <format dxfId="2491">
      <pivotArea type="all" dataOnly="0" outline="0" fieldPosition="0"/>
    </format>
    <format dxfId="2490">
      <pivotArea outline="0" collapsedLevelsAreSubtotals="1" fieldPosition="0"/>
    </format>
    <format dxfId="2489">
      <pivotArea dataOnly="0" labelOnly="1" outline="0" fieldPosition="0">
        <references count="1">
          <reference field="4294967294" count="3">
            <x v="0"/>
            <x v="1"/>
            <x v="2"/>
          </reference>
        </references>
      </pivotArea>
    </format>
    <format dxfId="2488">
      <pivotArea type="all" dataOnly="0" outline="0" fieldPosition="0"/>
    </format>
    <format dxfId="2487">
      <pivotArea outline="0" collapsedLevelsAreSubtotals="1" fieldPosition="0"/>
    </format>
    <format dxfId="2486">
      <pivotArea dataOnly="0" labelOnly="1" outline="0" fieldPosition="0">
        <references count="1">
          <reference field="4294967294" count="3">
            <x v="0"/>
            <x v="1"/>
            <x v="2"/>
          </reference>
        </references>
      </pivotArea>
    </format>
    <format dxfId="2485">
      <pivotArea type="all" dataOnly="0" outline="0" fieldPosition="0"/>
    </format>
    <format dxfId="2484">
      <pivotArea outline="0" collapsedLevelsAreSubtotals="1" fieldPosition="0"/>
    </format>
    <format dxfId="2483">
      <pivotArea dataOnly="0" labelOnly="1" outline="0" fieldPosition="0">
        <references count="1">
          <reference field="4294967294" count="3">
            <x v="0"/>
            <x v="1"/>
            <x v="2"/>
          </reference>
        </references>
      </pivotArea>
    </format>
    <format dxfId="2482">
      <pivotArea type="all" dataOnly="0" outline="0" fieldPosition="0"/>
    </format>
    <format dxfId="2481">
      <pivotArea outline="0" collapsedLevelsAreSubtotals="1" fieldPosition="0"/>
    </format>
    <format dxfId="2480">
      <pivotArea dataOnly="0" labelOnly="1" outline="0" fieldPosition="0">
        <references count="1">
          <reference field="4294967294" count="3">
            <x v="0"/>
            <x v="1"/>
            <x v="2"/>
          </reference>
        </references>
      </pivotArea>
    </format>
    <format dxfId="2479">
      <pivotArea type="all" dataOnly="0" outline="0" fieldPosition="0"/>
    </format>
    <format dxfId="2478">
      <pivotArea outline="0" collapsedLevelsAreSubtotals="1" fieldPosition="0"/>
    </format>
    <format dxfId="2477">
      <pivotArea dataOnly="0" labelOnly="1" outline="0" fieldPosition="0">
        <references count="1">
          <reference field="4294967294" count="3">
            <x v="0"/>
            <x v="1"/>
            <x v="2"/>
          </reference>
        </references>
      </pivotArea>
    </format>
    <format dxfId="2476">
      <pivotArea type="all" dataOnly="0" outline="0" fieldPosition="0"/>
    </format>
    <format dxfId="2475">
      <pivotArea outline="0" collapsedLevelsAreSubtotals="1" fieldPosition="0"/>
    </format>
    <format dxfId="2474">
      <pivotArea dataOnly="0" labelOnly="1" outline="0" fieldPosition="0">
        <references count="1">
          <reference field="4294967294" count="3">
            <x v="0"/>
            <x v="1"/>
            <x v="2"/>
          </reference>
        </references>
      </pivotArea>
    </format>
    <format dxfId="2473">
      <pivotArea dataOnly="0" labelOnly="1" outline="0" fieldPosition="0">
        <references count="1">
          <reference field="4294967294" count="3">
            <x v="0"/>
            <x v="1"/>
            <x v="2"/>
          </reference>
        </references>
      </pivotArea>
    </format>
    <format dxfId="2472">
      <pivotArea dataOnly="0" labelOnly="1" outline="0" fieldPosition="0">
        <references count="1">
          <reference field="4294967294" count="3">
            <x v="0"/>
            <x v="1"/>
            <x v="2"/>
          </reference>
        </references>
      </pivotArea>
    </format>
    <format dxfId="2471">
      <pivotArea dataOnly="0" labelOnly="1" outline="0" fieldPosition="0">
        <references count="1">
          <reference field="4294967294" count="3">
            <x v="0"/>
            <x v="1"/>
            <x v="2"/>
          </reference>
        </references>
      </pivotArea>
    </format>
    <format dxfId="2470">
      <pivotArea dataOnly="0" labelOnly="1" outline="0" fieldPosition="0">
        <references count="1">
          <reference field="4294967294" count="3">
            <x v="0"/>
            <x v="1"/>
            <x v="2"/>
          </reference>
        </references>
      </pivotArea>
    </format>
    <format dxfId="2469">
      <pivotArea outline="0" collapsedLevelsAreSubtotals="1" fieldPosition="0"/>
    </format>
    <format dxfId="2468">
      <pivotArea outline="0" collapsedLevelsAreSubtotals="1" fieldPosition="0"/>
    </format>
    <format dxfId="2467">
      <pivotArea outline="0" collapsedLevelsAreSubtotals="1" fieldPosition="0"/>
    </format>
    <format dxfId="2466">
      <pivotArea outline="0" collapsedLevelsAreSubtotals="1" fieldPosition="0"/>
    </format>
    <format dxfId="2465">
      <pivotArea type="all" dataOnly="0" outline="0" fieldPosition="0"/>
    </format>
    <format dxfId="2464">
      <pivotArea outline="0" collapsedLevelsAreSubtotals="1" fieldPosition="0"/>
    </format>
    <format dxfId="2463">
      <pivotArea dataOnly="0" labelOnly="1" outline="0" fieldPosition="0">
        <references count="1">
          <reference field="4294967294" count="3">
            <x v="0"/>
            <x v="1"/>
            <x v="2"/>
          </reference>
        </references>
      </pivotArea>
    </format>
    <format dxfId="2462">
      <pivotArea type="all" dataOnly="0" outline="0" fieldPosition="0"/>
    </format>
    <format dxfId="2461">
      <pivotArea outline="0" collapsedLevelsAreSubtotals="1" fieldPosition="0"/>
    </format>
    <format dxfId="2460">
      <pivotArea dataOnly="0" labelOnly="1" outline="0" fieldPosition="0">
        <references count="1">
          <reference field="4294967294" count="3">
            <x v="0"/>
            <x v="1"/>
            <x v="2"/>
          </reference>
        </references>
      </pivotArea>
    </format>
    <format dxfId="2459">
      <pivotArea type="all" dataOnly="0" outline="0" fieldPosition="0"/>
    </format>
    <format dxfId="2458">
      <pivotArea outline="0" collapsedLevelsAreSubtotals="1" fieldPosition="0"/>
    </format>
    <format dxfId="2457">
      <pivotArea dataOnly="0" labelOnly="1" outline="0" fieldPosition="0">
        <references count="1">
          <reference field="4294967294" count="3">
            <x v="0"/>
            <x v="1"/>
            <x v="2"/>
          </reference>
        </references>
      </pivotArea>
    </format>
    <format dxfId="2456">
      <pivotArea type="all" dataOnly="0" outline="0" fieldPosition="0"/>
    </format>
    <format dxfId="2455">
      <pivotArea outline="0" collapsedLevelsAreSubtotals="1" fieldPosition="0"/>
    </format>
    <format dxfId="2454">
      <pivotArea dataOnly="0" labelOnly="1" outline="0" fieldPosition="0">
        <references count="1">
          <reference field="4294967294" count="3">
            <x v="0"/>
            <x v="1"/>
            <x v="2"/>
          </reference>
        </references>
      </pivotArea>
    </format>
    <format dxfId="2453">
      <pivotArea type="all" dataOnly="0" outline="0" fieldPosition="0"/>
    </format>
    <format dxfId="2452">
      <pivotArea outline="0" collapsedLevelsAreSubtotals="1" fieldPosition="0"/>
    </format>
    <format dxfId="2451">
      <pivotArea dataOnly="0" labelOnly="1" outline="0" fieldPosition="0">
        <references count="1">
          <reference field="4294967294" count="3">
            <x v="0"/>
            <x v="1"/>
            <x v="2"/>
          </reference>
        </references>
      </pivotArea>
    </format>
    <format dxfId="2450">
      <pivotArea type="all" dataOnly="0" outline="0" fieldPosition="0"/>
    </format>
    <format dxfId="2449">
      <pivotArea outline="0" collapsedLevelsAreSubtotals="1" fieldPosition="0"/>
    </format>
    <format dxfId="2448">
      <pivotArea dataOnly="0" labelOnly="1" outline="0" fieldPosition="0">
        <references count="1">
          <reference field="4294967294" count="3">
            <x v="0"/>
            <x v="1"/>
            <x v="2"/>
          </reference>
        </references>
      </pivotArea>
    </format>
    <format dxfId="2447">
      <pivotArea type="all" dataOnly="0" outline="0" fieldPosition="0"/>
    </format>
    <format dxfId="2446">
      <pivotArea outline="0" collapsedLevelsAreSubtotals="1" fieldPosition="0"/>
    </format>
    <format dxfId="2445">
      <pivotArea dataOnly="0" labelOnly="1" outline="0" fieldPosition="0">
        <references count="1">
          <reference field="4294967294" count="3">
            <x v="0"/>
            <x v="1"/>
            <x v="2"/>
          </reference>
        </references>
      </pivotArea>
    </format>
    <format dxfId="2444">
      <pivotArea type="all" dataOnly="0" outline="0" fieldPosition="0"/>
    </format>
    <format dxfId="2443">
      <pivotArea outline="0" collapsedLevelsAreSubtotals="1" fieldPosition="0"/>
    </format>
    <format dxfId="2442">
      <pivotArea dataOnly="0" labelOnly="1" outline="0" fieldPosition="0">
        <references count="1">
          <reference field="4294967294" count="3">
            <x v="0"/>
            <x v="1"/>
            <x v="2"/>
          </reference>
        </references>
      </pivotArea>
    </format>
    <format dxfId="2441">
      <pivotArea type="all" dataOnly="0" outline="0" fieldPosition="0"/>
    </format>
    <format dxfId="2440">
      <pivotArea outline="0" collapsedLevelsAreSubtotals="1" fieldPosition="0"/>
    </format>
    <format dxfId="2439">
      <pivotArea dataOnly="0" labelOnly="1" outline="0" fieldPosition="0">
        <references count="1">
          <reference field="4294967294" count="3">
            <x v="0"/>
            <x v="1"/>
            <x v="2"/>
          </reference>
        </references>
      </pivotArea>
    </format>
    <format dxfId="2438">
      <pivotArea type="all" dataOnly="0" outline="0" fieldPosition="0"/>
    </format>
    <format dxfId="2437">
      <pivotArea outline="0" collapsedLevelsAreSubtotals="1" fieldPosition="0"/>
    </format>
    <format dxfId="2436">
      <pivotArea dataOnly="0" labelOnly="1" outline="0" fieldPosition="0">
        <references count="1">
          <reference field="4294967294" count="3">
            <x v="0"/>
            <x v="1"/>
            <x v="2"/>
          </reference>
        </references>
      </pivotArea>
    </format>
    <format dxfId="2435">
      <pivotArea type="all" dataOnly="0" outline="0" fieldPosition="0"/>
    </format>
    <format dxfId="2434">
      <pivotArea outline="0" collapsedLevelsAreSubtotals="1" fieldPosition="0"/>
    </format>
    <format dxfId="2433">
      <pivotArea dataOnly="0" labelOnly="1" outline="0" fieldPosition="0">
        <references count="1">
          <reference field="4294967294" count="3">
            <x v="0"/>
            <x v="1"/>
            <x v="2"/>
          </reference>
        </references>
      </pivotArea>
    </format>
    <format dxfId="2432">
      <pivotArea type="all" dataOnly="0" outline="0" fieldPosition="0"/>
    </format>
    <format dxfId="2431">
      <pivotArea outline="0" collapsedLevelsAreSubtotals="1" fieldPosition="0"/>
    </format>
    <format dxfId="2430">
      <pivotArea dataOnly="0" labelOnly="1" outline="0" fieldPosition="0">
        <references count="1">
          <reference field="4294967294" count="3">
            <x v="0"/>
            <x v="1"/>
            <x v="2"/>
          </reference>
        </references>
      </pivotArea>
    </format>
    <format dxfId="2429">
      <pivotArea type="all" dataOnly="0" outline="0" fieldPosition="0"/>
    </format>
    <format dxfId="2428">
      <pivotArea outline="0" collapsedLevelsAreSubtotals="1" fieldPosition="0"/>
    </format>
    <format dxfId="2427">
      <pivotArea dataOnly="0" labelOnly="1" outline="0" fieldPosition="0">
        <references count="1">
          <reference field="4294967294" count="3">
            <x v="0"/>
            <x v="1"/>
            <x v="2"/>
          </reference>
        </references>
      </pivotArea>
    </format>
    <format dxfId="2426">
      <pivotArea type="all" dataOnly="0" outline="0" fieldPosition="0"/>
    </format>
    <format dxfId="2425">
      <pivotArea outline="0" collapsedLevelsAreSubtotals="1" fieldPosition="0"/>
    </format>
    <format dxfId="2424">
      <pivotArea dataOnly="0" labelOnly="1" outline="0" fieldPosition="0">
        <references count="1">
          <reference field="4294967294" count="3">
            <x v="0"/>
            <x v="1"/>
            <x v="2"/>
          </reference>
        </references>
      </pivotArea>
    </format>
    <format dxfId="2423">
      <pivotArea type="all" dataOnly="0" outline="0" fieldPosition="0"/>
    </format>
    <format dxfId="2422">
      <pivotArea outline="0" collapsedLevelsAreSubtotals="1" fieldPosition="0"/>
    </format>
    <format dxfId="2421">
      <pivotArea dataOnly="0" labelOnly="1" outline="0" fieldPosition="0">
        <references count="1">
          <reference field="4294967294" count="3">
            <x v="0"/>
            <x v="1"/>
            <x v="2"/>
          </reference>
        </references>
      </pivotArea>
    </format>
    <format dxfId="2420">
      <pivotArea type="all" dataOnly="0" outline="0" fieldPosition="0"/>
    </format>
    <format dxfId="2419">
      <pivotArea outline="0" collapsedLevelsAreSubtotals="1" fieldPosition="0"/>
    </format>
    <format dxfId="2418">
      <pivotArea dataOnly="0" labelOnly="1" outline="0" fieldPosition="0">
        <references count="1">
          <reference field="4294967294" count="3">
            <x v="0"/>
            <x v="1"/>
            <x v="2"/>
          </reference>
        </references>
      </pivotArea>
    </format>
    <format dxfId="2417">
      <pivotArea type="all" dataOnly="0" outline="0" fieldPosition="0"/>
    </format>
    <format dxfId="2416">
      <pivotArea outline="0" collapsedLevelsAreSubtotals="1" fieldPosition="0"/>
    </format>
    <format dxfId="2415">
      <pivotArea dataOnly="0" labelOnly="1" outline="0" fieldPosition="0">
        <references count="1">
          <reference field="4294967294" count="3">
            <x v="0"/>
            <x v="1"/>
            <x v="2"/>
          </reference>
        </references>
      </pivotArea>
    </format>
    <format dxfId="2414">
      <pivotArea type="all" dataOnly="0" outline="0" fieldPosition="0"/>
    </format>
    <format dxfId="2413">
      <pivotArea outline="0" collapsedLevelsAreSubtotals="1" fieldPosition="0"/>
    </format>
    <format dxfId="2412">
      <pivotArea dataOnly="0" labelOnly="1" outline="0" fieldPosition="0">
        <references count="1">
          <reference field="4294967294" count="3">
            <x v="0"/>
            <x v="1"/>
            <x v="2"/>
          </reference>
        </references>
      </pivotArea>
    </format>
    <format dxfId="2411">
      <pivotArea outline="0" collapsedLevelsAreSubtotals="1" fieldPosition="0">
        <references count="1">
          <reference field="4294967294" count="1" selected="0">
            <x v="0"/>
          </reference>
        </references>
      </pivotArea>
    </format>
    <format dxfId="2410">
      <pivotArea outline="0" collapsedLevelsAreSubtotals="1" fieldPosition="0">
        <references count="1">
          <reference field="4294967294" count="1" selected="0">
            <x v="1"/>
          </reference>
        </references>
      </pivotArea>
    </format>
    <format dxfId="2409">
      <pivotArea type="all" dataOnly="0" outline="0" fieldPosition="0"/>
    </format>
    <format dxfId="2408">
      <pivotArea outline="0" collapsedLevelsAreSubtotals="1" fieldPosition="0"/>
    </format>
    <format dxfId="2407">
      <pivotArea dataOnly="0" labelOnly="1" outline="0" fieldPosition="0">
        <references count="1">
          <reference field="4294967294" count="3">
            <x v="0"/>
            <x v="1"/>
            <x v="2"/>
          </reference>
        </references>
      </pivotArea>
    </format>
    <format dxfId="2406">
      <pivotArea type="all" dataOnly="0" outline="0" fieldPosition="0"/>
    </format>
    <format dxfId="2405">
      <pivotArea outline="0" collapsedLevelsAreSubtotals="1" fieldPosition="0"/>
    </format>
    <format dxfId="2404">
      <pivotArea dataOnly="0" labelOnly="1" outline="0" fieldPosition="0">
        <references count="1">
          <reference field="4294967294" count="3">
            <x v="0"/>
            <x v="1"/>
            <x v="2"/>
          </reference>
        </references>
      </pivotArea>
    </format>
    <format dxfId="2403">
      <pivotArea dataOnly="0" labelOnly="1" outline="0" fieldPosition="0">
        <references count="1">
          <reference field="4294967294" count="3">
            <x v="0"/>
            <x v="1"/>
            <x v="2"/>
          </reference>
        </references>
      </pivotArea>
    </format>
    <format dxfId="2402">
      <pivotArea dataOnly="0" labelOnly="1" outline="0" fieldPosition="0">
        <references count="1">
          <reference field="4294967294" count="3">
            <x v="0"/>
            <x v="1"/>
            <x v="2"/>
          </reference>
        </references>
      </pivotArea>
    </format>
    <format dxfId="2401">
      <pivotArea dataOnly="0" labelOnly="1" outline="0" fieldPosition="0">
        <references count="1">
          <reference field="4294967294" count="3">
            <x v="0"/>
            <x v="1"/>
            <x v="2"/>
          </reference>
        </references>
      </pivotArea>
    </format>
    <format dxfId="2400">
      <pivotArea dataOnly="0" labelOnly="1" outline="0" fieldPosition="0">
        <references count="1">
          <reference field="4294967294" count="3">
            <x v="0"/>
            <x v="1"/>
            <x v="2"/>
          </reference>
        </references>
      </pivotArea>
    </format>
    <format dxfId="2399">
      <pivotArea outline="0" collapsedLevelsAreSubtotals="1" fieldPosition="0"/>
    </format>
    <format dxfId="2398">
      <pivotArea outline="0" collapsedLevelsAreSubtotals="1" fieldPosition="0"/>
    </format>
    <format dxfId="2397">
      <pivotArea outline="0" collapsedLevelsAreSubtotals="1" fieldPosition="0"/>
    </format>
    <format dxfId="2396">
      <pivotArea type="all" dataOnly="0" outline="0" fieldPosition="0"/>
    </format>
    <format dxfId="2395">
      <pivotArea outline="0" collapsedLevelsAreSubtotals="1" fieldPosition="0"/>
    </format>
    <format dxfId="2394">
      <pivotArea dataOnly="0" labelOnly="1" outline="0" fieldPosition="0">
        <references count="1">
          <reference field="4294967294" count="3">
            <x v="0"/>
            <x v="1"/>
            <x v="2"/>
          </reference>
        </references>
      </pivotArea>
    </format>
    <format dxfId="2393">
      <pivotArea type="all" dataOnly="0" outline="0" fieldPosition="0"/>
    </format>
    <format dxfId="2392">
      <pivotArea outline="0" collapsedLevelsAreSubtotals="1" fieldPosition="0"/>
    </format>
    <format dxfId="2391">
      <pivotArea dataOnly="0" labelOnly="1" outline="0" fieldPosition="0">
        <references count="1">
          <reference field="4294967294" count="3">
            <x v="0"/>
            <x v="1"/>
            <x v="2"/>
          </reference>
        </references>
      </pivotArea>
    </format>
    <format dxfId="2390">
      <pivotArea type="all" dataOnly="0" outline="0" fieldPosition="0"/>
    </format>
    <format dxfId="2389">
      <pivotArea outline="0" collapsedLevelsAreSubtotals="1" fieldPosition="0"/>
    </format>
    <format dxfId="2388">
      <pivotArea dataOnly="0" labelOnly="1" outline="0" fieldPosition="0">
        <references count="1">
          <reference field="4294967294" count="3">
            <x v="0"/>
            <x v="1"/>
            <x v="2"/>
          </reference>
        </references>
      </pivotArea>
    </format>
    <format dxfId="2387">
      <pivotArea type="all" dataOnly="0" outline="0" fieldPosition="0"/>
    </format>
    <format dxfId="2386">
      <pivotArea outline="0" collapsedLevelsAreSubtotals="1" fieldPosition="0"/>
    </format>
    <format dxfId="2385">
      <pivotArea dataOnly="0" labelOnly="1" outline="0" fieldPosition="0">
        <references count="1">
          <reference field="4294967294" count="3">
            <x v="0"/>
            <x v="1"/>
            <x v="2"/>
          </reference>
        </references>
      </pivotArea>
    </format>
    <format dxfId="2384">
      <pivotArea type="all" dataOnly="0" outline="0" fieldPosition="0"/>
    </format>
    <format dxfId="2383">
      <pivotArea outline="0" collapsedLevelsAreSubtotals="1" fieldPosition="0"/>
    </format>
    <format dxfId="2382">
      <pivotArea dataOnly="0" labelOnly="1" outline="0" fieldPosition="0">
        <references count="1">
          <reference field="4294967294" count="3">
            <x v="0"/>
            <x v="1"/>
            <x v="2"/>
          </reference>
        </references>
      </pivotArea>
    </format>
    <format dxfId="2381">
      <pivotArea type="all" dataOnly="0" outline="0" fieldPosition="0"/>
    </format>
    <format dxfId="2380">
      <pivotArea outline="0" collapsedLevelsAreSubtotals="1" fieldPosition="0"/>
    </format>
    <format dxfId="2379">
      <pivotArea dataOnly="0" labelOnly="1" outline="0" fieldPosition="0">
        <references count="1">
          <reference field="4294967294" count="3">
            <x v="0"/>
            <x v="1"/>
            <x v="2"/>
          </reference>
        </references>
      </pivotArea>
    </format>
    <format dxfId="2378">
      <pivotArea type="all" dataOnly="0" outline="0" fieldPosition="0"/>
    </format>
    <format dxfId="2377">
      <pivotArea outline="0" collapsedLevelsAreSubtotals="1" fieldPosition="0"/>
    </format>
    <format dxfId="2376">
      <pivotArea dataOnly="0" labelOnly="1" outline="0" fieldPosition="0">
        <references count="1">
          <reference field="4294967294" count="3">
            <x v="0"/>
            <x v="1"/>
            <x v="2"/>
          </reference>
        </references>
      </pivotArea>
    </format>
    <format dxfId="2375">
      <pivotArea type="all" dataOnly="0" outline="0" fieldPosition="0"/>
    </format>
    <format dxfId="2374">
      <pivotArea outline="0" collapsedLevelsAreSubtotals="1" fieldPosition="0"/>
    </format>
    <format dxfId="2373">
      <pivotArea dataOnly="0" labelOnly="1" outline="0" fieldPosition="0">
        <references count="1">
          <reference field="4294967294" count="3">
            <x v="0"/>
            <x v="1"/>
            <x v="2"/>
          </reference>
        </references>
      </pivotArea>
    </format>
    <format dxfId="2372">
      <pivotArea type="all" dataOnly="0" outline="0" fieldPosition="0"/>
    </format>
    <format dxfId="2371">
      <pivotArea outline="0" collapsedLevelsAreSubtotals="1" fieldPosition="0"/>
    </format>
    <format dxfId="2370">
      <pivotArea dataOnly="0" labelOnly="1" outline="0" fieldPosition="0">
        <references count="1">
          <reference field="4294967294" count="3">
            <x v="0"/>
            <x v="1"/>
            <x v="2"/>
          </reference>
        </references>
      </pivotArea>
    </format>
    <format dxfId="2369">
      <pivotArea type="all" dataOnly="0" outline="0" fieldPosition="0"/>
    </format>
    <format dxfId="2368">
      <pivotArea outline="0" collapsedLevelsAreSubtotals="1" fieldPosition="0"/>
    </format>
    <format dxfId="2367">
      <pivotArea dataOnly="0" labelOnly="1" outline="0" fieldPosition="0">
        <references count="1">
          <reference field="4294967294" count="3">
            <x v="0"/>
            <x v="1"/>
            <x v="2"/>
          </reference>
        </references>
      </pivotArea>
    </format>
    <format dxfId="2366">
      <pivotArea type="all" dataOnly="0" outline="0" fieldPosition="0"/>
    </format>
    <format dxfId="2365">
      <pivotArea outline="0" collapsedLevelsAreSubtotals="1" fieldPosition="0"/>
    </format>
    <format dxfId="2364">
      <pivotArea dataOnly="0" labelOnly="1" outline="0" fieldPosition="0">
        <references count="1">
          <reference field="4294967294" count="3">
            <x v="0"/>
            <x v="1"/>
            <x v="2"/>
          </reference>
        </references>
      </pivotArea>
    </format>
    <format dxfId="2363">
      <pivotArea type="all" dataOnly="0" outline="0" fieldPosition="0"/>
    </format>
    <format dxfId="2362">
      <pivotArea outline="0" collapsedLevelsAreSubtotals="1" fieldPosition="0"/>
    </format>
    <format dxfId="2361">
      <pivotArea dataOnly="0" labelOnly="1" outline="0" fieldPosition="0">
        <references count="1">
          <reference field="4294967294" count="3">
            <x v="0"/>
            <x v="1"/>
            <x v="2"/>
          </reference>
        </references>
      </pivotArea>
    </format>
    <format dxfId="2360">
      <pivotArea type="all" dataOnly="0" outline="0" fieldPosition="0"/>
    </format>
    <format dxfId="2359">
      <pivotArea outline="0" collapsedLevelsAreSubtotals="1" fieldPosition="0"/>
    </format>
    <format dxfId="2358">
      <pivotArea dataOnly="0" labelOnly="1" outline="0" fieldPosition="0">
        <references count="1">
          <reference field="4294967294" count="3">
            <x v="0"/>
            <x v="1"/>
            <x v="2"/>
          </reference>
        </references>
      </pivotArea>
    </format>
    <format dxfId="2357">
      <pivotArea type="all" dataOnly="0" outline="0" fieldPosition="0"/>
    </format>
    <format dxfId="2356">
      <pivotArea outline="0" collapsedLevelsAreSubtotals="1" fieldPosition="0"/>
    </format>
    <format dxfId="2355">
      <pivotArea dataOnly="0" labelOnly="1" outline="0" fieldPosition="0">
        <references count="1">
          <reference field="4294967294" count="3">
            <x v="0"/>
            <x v="1"/>
            <x v="2"/>
          </reference>
        </references>
      </pivotArea>
    </format>
    <format dxfId="2354">
      <pivotArea type="all" dataOnly="0" outline="0" fieldPosition="0"/>
    </format>
    <format dxfId="2353">
      <pivotArea outline="0" collapsedLevelsAreSubtotals="1" fieldPosition="0"/>
    </format>
    <format dxfId="2352">
      <pivotArea dataOnly="0" labelOnly="1" outline="0" fieldPosition="0">
        <references count="1">
          <reference field="4294967294" count="3">
            <x v="0"/>
            <x v="1"/>
            <x v="2"/>
          </reference>
        </references>
      </pivotArea>
    </format>
    <format dxfId="2351">
      <pivotArea type="all" dataOnly="0" outline="0" fieldPosition="0"/>
    </format>
    <format dxfId="2350">
      <pivotArea outline="0" collapsedLevelsAreSubtotals="1" fieldPosition="0"/>
    </format>
    <format dxfId="2349">
      <pivotArea dataOnly="0" labelOnly="1" outline="0" fieldPosition="0">
        <references count="1">
          <reference field="4294967294" count="3">
            <x v="0"/>
            <x v="1"/>
            <x v="2"/>
          </reference>
        </references>
      </pivotArea>
    </format>
    <format dxfId="2348">
      <pivotArea type="all" dataOnly="0" outline="0" fieldPosition="0"/>
    </format>
    <format dxfId="2347">
      <pivotArea outline="0" collapsedLevelsAreSubtotals="1" fieldPosition="0"/>
    </format>
    <format dxfId="2346">
      <pivotArea dataOnly="0" labelOnly="1" outline="0" fieldPosition="0">
        <references count="1">
          <reference field="4294967294" count="3">
            <x v="0"/>
            <x v="1"/>
            <x v="2"/>
          </reference>
        </references>
      </pivotArea>
    </format>
    <format dxfId="2345">
      <pivotArea type="all" dataOnly="0" outline="0" fieldPosition="0"/>
    </format>
    <format dxfId="2344">
      <pivotArea outline="0" collapsedLevelsAreSubtotals="1" fieldPosition="0"/>
    </format>
    <format dxfId="2343">
      <pivotArea dataOnly="0" labelOnly="1" outline="0" fieldPosition="0">
        <references count="1">
          <reference field="4294967294" count="3">
            <x v="0"/>
            <x v="1"/>
            <x v="2"/>
          </reference>
        </references>
      </pivotArea>
    </format>
    <format dxfId="2342">
      <pivotArea outline="0" collapsedLevelsAreSubtotals="1" fieldPosition="0">
        <references count="1">
          <reference field="4294967294" count="1" selected="0">
            <x v="0"/>
          </reference>
        </references>
      </pivotArea>
    </format>
    <format dxfId="2341">
      <pivotArea outline="0" collapsedLevelsAreSubtotals="1" fieldPosition="0">
        <references count="1">
          <reference field="4294967294" count="1" selected="0">
            <x v="1"/>
          </reference>
        </references>
      </pivotArea>
    </format>
    <format dxfId="2340">
      <pivotArea dataOnly="0" labelOnly="1" outline="0" fieldPosition="0">
        <references count="1">
          <reference field="4294967294" count="3">
            <x v="0"/>
            <x v="1"/>
            <x v="2"/>
          </reference>
        </references>
      </pivotArea>
    </format>
    <format dxfId="2339">
      <pivotArea dataOnly="0" labelOnly="1" outline="0" fieldPosition="0">
        <references count="1">
          <reference field="4294967294" count="3">
            <x v="0"/>
            <x v="1"/>
            <x v="2"/>
          </reference>
        </references>
      </pivotArea>
    </format>
    <format dxfId="2338">
      <pivotArea dataOnly="0" labelOnly="1" outline="0" fieldPosition="0">
        <references count="1">
          <reference field="4294967294" count="3">
            <x v="0"/>
            <x v="1"/>
            <x v="2"/>
          </reference>
        </references>
      </pivotArea>
    </format>
    <format dxfId="2337">
      <pivotArea dataOnly="0" labelOnly="1" outline="0" fieldPosition="0">
        <references count="1">
          <reference field="4294967294" count="3">
            <x v="0"/>
            <x v="1"/>
            <x v="2"/>
          </reference>
        </references>
      </pivotArea>
    </format>
    <format dxfId="2336">
      <pivotArea dataOnly="0" labelOnly="1" outline="0" fieldPosition="0">
        <references count="1">
          <reference field="4294967294" count="3">
            <x v="0"/>
            <x v="1"/>
            <x v="2"/>
          </reference>
        </references>
      </pivotArea>
    </format>
    <format dxfId="2335">
      <pivotArea dataOnly="0" labelOnly="1" outline="0" fieldPosition="0">
        <references count="1">
          <reference field="4294967294" count="3">
            <x v="0"/>
            <x v="1"/>
            <x v="2"/>
          </reference>
        </references>
      </pivotArea>
    </format>
    <format dxfId="2334">
      <pivotArea dataOnly="0" labelOnly="1" outline="0" fieldPosition="0">
        <references count="1">
          <reference field="4294967294" count="3">
            <x v="0"/>
            <x v="1"/>
            <x v="2"/>
          </reference>
        </references>
      </pivotArea>
    </format>
    <format dxfId="2333">
      <pivotArea dataOnly="0" labelOnly="1" outline="0" fieldPosition="0">
        <references count="1">
          <reference field="4294967294" count="3">
            <x v="0"/>
            <x v="1"/>
            <x v="2"/>
          </reference>
        </references>
      </pivotArea>
    </format>
    <format dxfId="2332">
      <pivotArea dataOnly="0" labelOnly="1" outline="0" fieldPosition="0">
        <references count="1">
          <reference field="4294967294" count="3">
            <x v="0"/>
            <x v="1"/>
            <x v="2"/>
          </reference>
        </references>
      </pivotArea>
    </format>
    <format dxfId="2331">
      <pivotArea dataOnly="0" labelOnly="1" outline="0" fieldPosition="0">
        <references count="1">
          <reference field="4294967294" count="1">
            <x v="0"/>
          </reference>
        </references>
      </pivotArea>
    </format>
    <format dxfId="2330">
      <pivotArea dataOnly="0" labelOnly="1" outline="0" fieldPosition="0">
        <references count="1">
          <reference field="4294967294" count="1">
            <x v="1"/>
          </reference>
        </references>
      </pivotArea>
    </format>
    <format dxfId="2329">
      <pivotArea dataOnly="0" labelOnly="1" outline="0" fieldPosition="0">
        <references count="1">
          <reference field="4294967294" count="1">
            <x v="2"/>
          </reference>
        </references>
      </pivotArea>
    </format>
    <format dxfId="2328">
      <pivotArea dataOnly="0" labelOnly="1" outline="0" fieldPosition="0">
        <references count="1">
          <reference field="4294967294" count="3">
            <x v="0"/>
            <x v="1"/>
            <x v="2"/>
          </reference>
        </references>
      </pivotArea>
    </format>
    <format dxfId="2327">
      <pivotArea dataOnly="0" labelOnly="1" outline="0" fieldPosition="0">
        <references count="1">
          <reference field="4294967294" count="3">
            <x v="0"/>
            <x v="1"/>
            <x v="2"/>
          </reference>
        </references>
      </pivotArea>
    </format>
    <format dxfId="2326">
      <pivotArea dataOnly="0" labelOnly="1" outline="0" fieldPosition="0">
        <references count="1">
          <reference field="4294967294" count="3">
            <x v="0"/>
            <x v="1"/>
            <x v="2"/>
          </reference>
        </references>
      </pivotArea>
    </format>
    <format dxfId="2325">
      <pivotArea dataOnly="0" labelOnly="1" outline="0" fieldPosition="0">
        <references count="1">
          <reference field="4294967294" count="3">
            <x v="0"/>
            <x v="1"/>
            <x v="2"/>
          </reference>
        </references>
      </pivotArea>
    </format>
    <format dxfId="2324">
      <pivotArea dataOnly="0" labelOnly="1" outline="0" fieldPosition="0">
        <references count="1">
          <reference field="4294967294" count="3">
            <x v="0"/>
            <x v="1"/>
            <x v="2"/>
          </reference>
        </references>
      </pivotArea>
    </format>
    <format dxfId="2323">
      <pivotArea dataOnly="0" labelOnly="1" outline="0" fieldPosition="0">
        <references count="1">
          <reference field="4294967294" count="3">
            <x v="0"/>
            <x v="1"/>
            <x v="2"/>
          </reference>
        </references>
      </pivotArea>
    </format>
    <format dxfId="2322">
      <pivotArea dataOnly="0" labelOnly="1" outline="0" fieldPosition="0">
        <references count="1">
          <reference field="4294967294" count="3">
            <x v="0"/>
            <x v="1"/>
            <x v="2"/>
          </reference>
        </references>
      </pivotArea>
    </format>
    <format dxfId="2321">
      <pivotArea dataOnly="0" labelOnly="1" outline="0" fieldPosition="0">
        <references count="1">
          <reference field="4294967294" count="3">
            <x v="0"/>
            <x v="1"/>
            <x v="2"/>
          </reference>
        </references>
      </pivotArea>
    </format>
    <format dxfId="2320">
      <pivotArea dataOnly="0" labelOnly="1" outline="0" fieldPosition="0">
        <references count="1">
          <reference field="4294967294" count="3">
            <x v="0"/>
            <x v="1"/>
            <x v="2"/>
          </reference>
        </references>
      </pivotArea>
    </format>
    <format dxfId="2319">
      <pivotArea dataOnly="0" labelOnly="1" outline="0" fieldPosition="0">
        <references count="1">
          <reference field="4294967294" count="3">
            <x v="0"/>
            <x v="1"/>
            <x v="2"/>
          </reference>
        </references>
      </pivotArea>
    </format>
    <format dxfId="2318">
      <pivotArea dataOnly="0" labelOnly="1" outline="0" fieldPosition="0">
        <references count="1">
          <reference field="4294967294" count="3">
            <x v="0"/>
            <x v="1"/>
            <x v="2"/>
          </reference>
        </references>
      </pivotArea>
    </format>
    <format dxfId="2317">
      <pivotArea dataOnly="0" labelOnly="1" outline="0" fieldPosition="0">
        <references count="1">
          <reference field="4294967294" count="3">
            <x v="0"/>
            <x v="1"/>
            <x v="2"/>
          </reference>
        </references>
      </pivotArea>
    </format>
    <format dxfId="2316">
      <pivotArea outline="0" collapsedLevelsAreSubtotals="1" fieldPosition="0"/>
    </format>
    <format dxfId="2315">
      <pivotArea outline="0" collapsedLevelsAreSubtotals="1" fieldPosition="0"/>
    </format>
    <format dxfId="2314">
      <pivotArea outline="0" collapsedLevelsAreSubtotals="1" fieldPosition="0"/>
    </format>
    <format dxfId="2313">
      <pivotArea outline="0" collapsedLevelsAreSubtotals="1" fieldPosition="0"/>
    </format>
    <format dxfId="2312">
      <pivotArea outline="0" collapsedLevelsAreSubtotals="1" fieldPosition="0"/>
    </format>
    <format dxfId="2311">
      <pivotArea outline="0" collapsedLevelsAreSubtotals="1" fieldPosition="0"/>
    </format>
    <format dxfId="2310">
      <pivotArea outline="0" collapsedLevelsAreSubtotals="1" fieldPosition="0"/>
    </format>
    <format dxfId="2309">
      <pivotArea outline="0" collapsedLevelsAreSubtotals="1" fieldPosition="0"/>
    </format>
    <format dxfId="2308">
      <pivotArea outline="0" collapsedLevelsAreSubtotals="1" fieldPosition="0"/>
    </format>
    <format dxfId="2307">
      <pivotArea outline="0" collapsedLevelsAreSubtotals="1" fieldPosition="0">
        <references count="1">
          <reference field="4294967294" count="1" selected="0">
            <x v="0"/>
          </reference>
        </references>
      </pivotArea>
    </format>
    <format dxfId="2306">
      <pivotArea outline="0" collapsedLevelsAreSubtotals="1" fieldPosition="0">
        <references count="1">
          <reference field="4294967294" count="1" selected="0">
            <x v="1"/>
          </reference>
        </references>
      </pivotArea>
    </format>
    <format dxfId="2305">
      <pivotArea outline="0" collapsedLevelsAreSubtotals="1" fieldPosition="0">
        <references count="1">
          <reference field="4294967294" count="1" selected="0">
            <x v="2"/>
          </reference>
        </references>
      </pivotArea>
    </format>
    <format dxfId="2304">
      <pivotArea outline="0" collapsedLevelsAreSubtotals="1" fieldPosition="0"/>
    </format>
    <format dxfId="2303">
      <pivotArea outline="0" collapsedLevelsAreSubtotals="1" fieldPosition="0"/>
    </format>
    <format dxfId="2302">
      <pivotArea outline="0" collapsedLevelsAreSubtotals="1" fieldPosition="0"/>
    </format>
    <format dxfId="2301">
      <pivotArea outline="0" collapsedLevelsAreSubtotals="1" fieldPosition="0"/>
    </format>
    <format dxfId="2300">
      <pivotArea outline="0" collapsedLevelsAreSubtotals="1" fieldPosition="0"/>
    </format>
    <format dxfId="2299">
      <pivotArea outline="0" collapsedLevelsAreSubtotals="1" fieldPosition="0"/>
    </format>
    <format dxfId="2298">
      <pivotArea outline="0" collapsedLevelsAreSubtotals="1" fieldPosition="0"/>
    </format>
    <format dxfId="2297">
      <pivotArea outline="0" collapsedLevelsAreSubtotals="1" fieldPosition="0"/>
    </format>
    <format dxfId="2296">
      <pivotArea outline="0" collapsedLevelsAreSubtotals="1" fieldPosition="0"/>
    </format>
    <format dxfId="2295">
      <pivotArea outline="0" collapsedLevelsAreSubtotals="1" fieldPosition="0"/>
    </format>
    <format dxfId="2294">
      <pivotArea outline="0" collapsedLevelsAreSubtotals="1" fieldPosition="0"/>
    </format>
    <format dxfId="229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4B074EE3-FEBF-45E8-886F-AFA33E13A609}" sourceName="City">
  <data>
    <tabular pivotCacheId="1122650493">
      <items count="7">
        <i x="3" s="1"/>
        <i x="4" s="1"/>
        <i x="2" s="1"/>
        <i x="6" s="1"/>
        <i x="5"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1" xr10:uid="{C2869E34-A12E-400F-BF3A-29D37368D2DD}" sourceName="City">
  <pivotTables>
    <pivotTable tabId="17" name="PivotTable3"/>
  </pivotTables>
  <data>
    <tabular pivotCacheId="1122650493">
      <items count="7">
        <i x="3" s="1"/>
        <i x="4" s="1"/>
        <i x="2" s="1"/>
        <i x="6" s="1"/>
        <i x="5"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36F48223-D969-4011-A5AC-065361ED4208}" cache="Slicer_City1" caption="Cit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2" xr10:uid="{D1971C0A-C26F-45B4-B1FB-68E66CC0704D}" cache="Slicer_City" caption="Cityes" style="SlicerStyleDark1" rowHeight="432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DD896F0-8335-4202-8934-58FB375D0E19}" name="Logities42" displayName="Logities42" ref="A1:G21" totalsRowShown="0" headerRowDxfId="2506" dataDxfId="2505">
  <autoFilter ref="A1:G21" xr:uid="{02229807-55E2-491D-B20A-C7C1BF42D2D9}"/>
  <tableColumns count="7">
    <tableColumn id="1" xr3:uid="{BBC6A50B-3663-426E-8C63-7C96CABD9876}" name="Order_ID" dataDxfId="2504"/>
    <tableColumn id="2" xr3:uid="{8D757E17-A039-4FF2-98F4-0CF105678179}" name="Customer_Name" dataDxfId="2503"/>
    <tableColumn id="12" xr3:uid="{B565DB2B-812F-4651-A8FD-6AE641520FC2}" name="City" dataDxfId="2502"/>
    <tableColumn id="4" xr3:uid="{5BF0EE9B-B545-46EC-BEE4-B4D584C1FB27}" name="Product" dataDxfId="2501"/>
    <tableColumn id="8" xr3:uid="{CD0B1886-9A5C-412B-9270-D09D0FBDE0B8}" name="Quantity" dataDxfId="2500"/>
    <tableColumn id="14" xr3:uid="{2186C29E-FFAA-4331-A54E-35C3127E98EB}" name="Delivery_Status" dataDxfId="2499"/>
    <tableColumn id="10" xr3:uid="{EA8E2EAE-F285-44A5-98F9-FA8BE350F436}" name="Delivery_Days" dataDxfId="2498"/>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3" Type="http://schemas.microsoft.com/office/2011/relationships/webextension" Target="webextension3.xml"/><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5">
    <wetp:webextensionref xmlns:r="http://schemas.openxmlformats.org/officeDocument/2006/relationships" r:id="rId1"/>
  </wetp:taskpane>
  <wetp:taskpane dockstate="right" visibility="0" width="438" row="6">
    <wetp:webextensionref xmlns:r="http://schemas.openxmlformats.org/officeDocument/2006/relationships" r:id="rId2"/>
  </wetp:taskpane>
  <wetp:taskpane dockstate="right" visibility="0" width="438" row="6">
    <wetp:webextensionref xmlns:r="http://schemas.openxmlformats.org/officeDocument/2006/relationships" r:id="rId3"/>
  </wetp:taskpane>
</wetp:taskpanes>
</file>

<file path=xl/webextensions/webextension1.xml><?xml version="1.0" encoding="utf-8"?>
<we:webextension xmlns:we="http://schemas.microsoft.com/office/webextensions/webextension/2010/11" id="{5FAACD56-DE8F-4F40-9632-9F28916F980A}">
  <we:reference id="wa200009404" version="1.0.0.8" store="en-GB" storeType="OMEX"/>
  <we:alternateReferences>
    <we:reference id="WA200009404" version="1.0.0.8" store="" storeType="OMEX"/>
  </we:alternateReferences>
  <we:properties>
    <we:property name="claude.fileId" value="&quot;2e7b3ce6-7113-4d31-8c18-2a85cbb19b2d&quot;"/>
  </we:properties>
  <we:bindings/>
  <we:snapshot xmlns:r="http://schemas.openxmlformats.org/officeDocument/2006/relationships"/>
</we:webextension>
</file>

<file path=xl/webextensions/webextension2.xml><?xml version="1.0" encoding="utf-8"?>
<we:webextension xmlns:we="http://schemas.microsoft.com/office/webextensions/webextension/2010/11" id="{42F8E51E-4B03-4C6B-9675-2BA98AFE327E}">
  <we:reference id="wa200005281" version="1.0.0.0" store="en-GB" storeType="OMEX"/>
  <we:alternateReferences>
    <we:reference id="WA200005281" version="1.0.0.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_xldudf_NUM_AI</we:customFunctionIds>
        <we:customFunctionIds>_xldudf_NUM_WRITE</we:customFunctionIds>
        <we:customFunctionIds>_xldudf_NUM_INFER</we:customFunctionIds>
      </we:customFunctionIdList>
    </a:ext>
  </we:extLst>
</we:webextension>
</file>

<file path=xl/webextensions/webextension3.xml><?xml version="1.0" encoding="utf-8"?>
<we:webextension xmlns:we="http://schemas.microsoft.com/office/webextensions/webextension/2010/11" id="{C5B5729C-FA3B-4AD5-851A-3A060754F5C6}">
  <we:reference id="wa200010215" version="1.0.0.0" store="en-GB" storeType="OMEX"/>
  <we:alternateReferences>
    <we:reference id="WA200010215" version="1.0.0.0" store=""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F1CA5-A2DC-463E-8AA2-EBB5076CD904}">
  <dimension ref="A1:G21"/>
  <sheetViews>
    <sheetView workbookViewId="0">
      <selection activeCell="I18" sqref="I18"/>
    </sheetView>
  </sheetViews>
  <sheetFormatPr defaultRowHeight="14.4" x14ac:dyDescent="0.3"/>
  <cols>
    <col min="1" max="1" width="13" bestFit="1" customWidth="1"/>
    <col min="2" max="2" width="19.6640625" bestFit="1" customWidth="1"/>
    <col min="3" max="3" width="9.77734375" bestFit="1" customWidth="1"/>
    <col min="4" max="4" width="12.109375" bestFit="1" customWidth="1"/>
    <col min="5" max="5" width="12.77734375" bestFit="1" customWidth="1"/>
    <col min="6" max="6" width="18.5546875" bestFit="1" customWidth="1"/>
    <col min="7" max="7" width="17.21875" bestFit="1" customWidth="1"/>
    <col min="8" max="8" width="12.77734375" bestFit="1" customWidth="1"/>
    <col min="9" max="9" width="21.77734375" customWidth="1"/>
    <col min="10" max="10" width="17.21875" bestFit="1" customWidth="1"/>
  </cols>
  <sheetData>
    <row r="1" spans="1:7" x14ac:dyDescent="0.3">
      <c r="A1" s="2" t="s">
        <v>0</v>
      </c>
      <c r="B1" s="2" t="s">
        <v>1</v>
      </c>
      <c r="C1" s="2" t="s">
        <v>2</v>
      </c>
      <c r="D1" s="2" t="s">
        <v>3</v>
      </c>
      <c r="E1" s="2" t="s">
        <v>4</v>
      </c>
      <c r="F1" s="2" t="s">
        <v>5</v>
      </c>
      <c r="G1" s="2" t="s">
        <v>6</v>
      </c>
    </row>
    <row r="2" spans="1:7" x14ac:dyDescent="0.3">
      <c r="A2" s="1">
        <v>1001</v>
      </c>
      <c r="B2" s="3" t="s">
        <v>7</v>
      </c>
      <c r="C2" s="3" t="s">
        <v>8</v>
      </c>
      <c r="D2" s="1" t="s">
        <v>9</v>
      </c>
      <c r="E2" s="1">
        <v>2</v>
      </c>
      <c r="F2" s="1" t="s">
        <v>10</v>
      </c>
      <c r="G2" s="1">
        <v>5</v>
      </c>
    </row>
    <row r="3" spans="1:7" x14ac:dyDescent="0.3">
      <c r="A3" s="1">
        <v>1002</v>
      </c>
      <c r="B3" s="3" t="s">
        <v>11</v>
      </c>
      <c r="C3" s="3" t="s">
        <v>12</v>
      </c>
      <c r="D3" s="1" t="s">
        <v>13</v>
      </c>
      <c r="E3" s="1">
        <v>5</v>
      </c>
      <c r="F3" s="1" t="s">
        <v>14</v>
      </c>
      <c r="G3" s="1">
        <v>12</v>
      </c>
    </row>
    <row r="4" spans="1:7" x14ac:dyDescent="0.3">
      <c r="A4" s="1">
        <v>1003</v>
      </c>
      <c r="B4" s="3" t="s">
        <v>42</v>
      </c>
      <c r="C4" s="3" t="s">
        <v>15</v>
      </c>
      <c r="D4" s="1" t="s">
        <v>16</v>
      </c>
      <c r="E4" s="1">
        <v>2</v>
      </c>
      <c r="F4" s="1" t="s">
        <v>10</v>
      </c>
      <c r="G4" s="1">
        <v>4</v>
      </c>
    </row>
    <row r="5" spans="1:7" x14ac:dyDescent="0.3">
      <c r="A5" s="1">
        <v>1004</v>
      </c>
      <c r="B5" s="3" t="s">
        <v>17</v>
      </c>
      <c r="C5" s="3" t="s">
        <v>8</v>
      </c>
      <c r="D5" s="1" t="s">
        <v>18</v>
      </c>
      <c r="E5" s="1">
        <v>1</v>
      </c>
      <c r="F5" s="1" t="s">
        <v>19</v>
      </c>
      <c r="G5" s="1">
        <v>0</v>
      </c>
    </row>
    <row r="6" spans="1:7" x14ac:dyDescent="0.3">
      <c r="A6" s="1">
        <v>1005</v>
      </c>
      <c r="B6" s="3" t="s">
        <v>41</v>
      </c>
      <c r="C6" s="3" t="s">
        <v>20</v>
      </c>
      <c r="D6" s="1" t="s">
        <v>9</v>
      </c>
      <c r="E6" s="1">
        <v>3</v>
      </c>
      <c r="F6" s="1" t="s">
        <v>10</v>
      </c>
      <c r="G6" s="1">
        <v>7</v>
      </c>
    </row>
    <row r="7" spans="1:7" x14ac:dyDescent="0.3">
      <c r="A7" s="1">
        <v>1006</v>
      </c>
      <c r="B7" s="3" t="s">
        <v>21</v>
      </c>
      <c r="C7" s="3" t="s">
        <v>12</v>
      </c>
      <c r="D7" s="1" t="s">
        <v>22</v>
      </c>
      <c r="E7" s="1">
        <v>1</v>
      </c>
      <c r="F7" s="1" t="s">
        <v>10</v>
      </c>
      <c r="G7" s="1">
        <v>3</v>
      </c>
    </row>
    <row r="8" spans="1:7" x14ac:dyDescent="0.3">
      <c r="A8" s="1">
        <v>1007</v>
      </c>
      <c r="B8" s="3" t="s">
        <v>23</v>
      </c>
      <c r="C8" s="3" t="s">
        <v>24</v>
      </c>
      <c r="D8" s="1" t="s">
        <v>13</v>
      </c>
      <c r="E8" s="1">
        <v>10</v>
      </c>
      <c r="F8" s="1" t="s">
        <v>14</v>
      </c>
      <c r="G8" s="1">
        <v>15</v>
      </c>
    </row>
    <row r="9" spans="1:7" x14ac:dyDescent="0.3">
      <c r="A9" s="1">
        <v>1008</v>
      </c>
      <c r="B9" s="3" t="s">
        <v>25</v>
      </c>
      <c r="C9" s="3" t="s">
        <v>8</v>
      </c>
      <c r="D9" s="1" t="s">
        <v>26</v>
      </c>
      <c r="E9" s="1">
        <v>2</v>
      </c>
      <c r="F9" s="1" t="s">
        <v>10</v>
      </c>
      <c r="G9" s="1">
        <v>6</v>
      </c>
    </row>
    <row r="10" spans="1:7" x14ac:dyDescent="0.3">
      <c r="A10" s="1">
        <v>1009</v>
      </c>
      <c r="B10" s="3" t="s">
        <v>27</v>
      </c>
      <c r="C10" s="3" t="s">
        <v>15</v>
      </c>
      <c r="D10" s="1" t="s">
        <v>16</v>
      </c>
      <c r="E10" s="1">
        <v>0</v>
      </c>
      <c r="F10" s="1" t="s">
        <v>28</v>
      </c>
      <c r="G10" s="1">
        <v>9</v>
      </c>
    </row>
    <row r="11" spans="1:7" x14ac:dyDescent="0.3">
      <c r="A11" s="1">
        <v>1010</v>
      </c>
      <c r="B11" s="3" t="s">
        <v>29</v>
      </c>
      <c r="C11" s="3" t="s">
        <v>30</v>
      </c>
      <c r="D11" s="1" t="s">
        <v>9</v>
      </c>
      <c r="E11" s="1">
        <v>1</v>
      </c>
      <c r="F11" s="1" t="s">
        <v>10</v>
      </c>
      <c r="G11" s="1">
        <v>5</v>
      </c>
    </row>
    <row r="12" spans="1:7" x14ac:dyDescent="0.3">
      <c r="A12" s="1">
        <v>1011</v>
      </c>
      <c r="B12" s="3" t="s">
        <v>31</v>
      </c>
      <c r="C12" s="3" t="s">
        <v>8</v>
      </c>
      <c r="D12" s="1" t="s">
        <v>13</v>
      </c>
      <c r="E12" s="1">
        <v>4</v>
      </c>
      <c r="F12" s="1" t="s">
        <v>14</v>
      </c>
      <c r="G12" s="1">
        <v>11</v>
      </c>
    </row>
    <row r="13" spans="1:7" x14ac:dyDescent="0.3">
      <c r="A13" s="1">
        <v>1012</v>
      </c>
      <c r="B13" s="3" t="s">
        <v>32</v>
      </c>
      <c r="C13" s="3" t="s">
        <v>33</v>
      </c>
      <c r="D13" s="1" t="s">
        <v>18</v>
      </c>
      <c r="E13" s="1">
        <v>1</v>
      </c>
      <c r="F13" s="1" t="s">
        <v>10</v>
      </c>
      <c r="G13" s="1">
        <v>3</v>
      </c>
    </row>
    <row r="14" spans="1:7" x14ac:dyDescent="0.3">
      <c r="A14" s="1">
        <v>1013</v>
      </c>
      <c r="B14" s="3" t="s">
        <v>34</v>
      </c>
      <c r="C14" s="3" t="s">
        <v>24</v>
      </c>
      <c r="D14" s="1" t="s">
        <v>9</v>
      </c>
      <c r="E14" s="1">
        <v>2</v>
      </c>
      <c r="F14" s="1" t="s">
        <v>19</v>
      </c>
      <c r="G14" s="1">
        <v>8</v>
      </c>
    </row>
    <row r="15" spans="1:7" x14ac:dyDescent="0.3">
      <c r="A15" s="1">
        <v>1014</v>
      </c>
      <c r="B15" s="3" t="s">
        <v>35</v>
      </c>
      <c r="C15" s="3" t="s">
        <v>20</v>
      </c>
      <c r="D15" s="1" t="s">
        <v>22</v>
      </c>
      <c r="E15" s="1">
        <v>1</v>
      </c>
      <c r="F15" s="1" t="s">
        <v>10</v>
      </c>
      <c r="G15" s="1">
        <v>2</v>
      </c>
    </row>
    <row r="16" spans="1:7" x14ac:dyDescent="0.3">
      <c r="A16" s="1">
        <v>1015</v>
      </c>
      <c r="B16" s="3" t="s">
        <v>41</v>
      </c>
      <c r="C16" s="3" t="s">
        <v>12</v>
      </c>
      <c r="D16" s="1" t="s">
        <v>26</v>
      </c>
      <c r="E16" s="1">
        <v>3</v>
      </c>
      <c r="F16" s="1" t="s">
        <v>14</v>
      </c>
      <c r="G16" s="1">
        <v>14</v>
      </c>
    </row>
    <row r="17" spans="1:7" x14ac:dyDescent="0.3">
      <c r="A17" s="1">
        <v>1016</v>
      </c>
      <c r="B17" s="3" t="s">
        <v>36</v>
      </c>
      <c r="C17" s="3" t="s">
        <v>15</v>
      </c>
      <c r="D17" s="1" t="s">
        <v>13</v>
      </c>
      <c r="E17" s="1">
        <v>6</v>
      </c>
      <c r="F17" s="1" t="s">
        <v>10</v>
      </c>
      <c r="G17" s="1">
        <v>5</v>
      </c>
    </row>
    <row r="18" spans="1:7" x14ac:dyDescent="0.3">
      <c r="A18" s="1">
        <v>1017</v>
      </c>
      <c r="B18" s="3" t="s">
        <v>37</v>
      </c>
      <c r="C18" s="3" t="s">
        <v>8</v>
      </c>
      <c r="D18" s="1" t="s">
        <v>16</v>
      </c>
      <c r="E18" s="1">
        <v>2</v>
      </c>
      <c r="F18" s="1" t="s">
        <v>28</v>
      </c>
      <c r="G18" s="1">
        <v>0</v>
      </c>
    </row>
    <row r="19" spans="1:7" x14ac:dyDescent="0.3">
      <c r="A19" s="1">
        <v>1018</v>
      </c>
      <c r="B19" s="3" t="s">
        <v>38</v>
      </c>
      <c r="C19" s="3" t="s">
        <v>30</v>
      </c>
      <c r="D19" s="1" t="s">
        <v>9</v>
      </c>
      <c r="E19" s="1">
        <v>1</v>
      </c>
      <c r="F19" s="1" t="s">
        <v>10</v>
      </c>
      <c r="G19" s="1">
        <v>4</v>
      </c>
    </row>
    <row r="20" spans="1:7" x14ac:dyDescent="0.3">
      <c r="A20" s="1">
        <v>1019</v>
      </c>
      <c r="B20" s="3" t="s">
        <v>39</v>
      </c>
      <c r="C20" s="3" t="s">
        <v>8</v>
      </c>
      <c r="D20" s="1" t="s">
        <v>22</v>
      </c>
      <c r="E20" s="1">
        <v>5</v>
      </c>
      <c r="F20" s="1" t="s">
        <v>14</v>
      </c>
      <c r="G20" s="1">
        <v>13</v>
      </c>
    </row>
    <row r="21" spans="1:7" x14ac:dyDescent="0.3">
      <c r="A21" s="1">
        <v>1020</v>
      </c>
      <c r="B21" s="3" t="s">
        <v>40</v>
      </c>
      <c r="C21" s="3" t="s">
        <v>24</v>
      </c>
      <c r="D21" s="1" t="s">
        <v>18</v>
      </c>
      <c r="E21" s="1">
        <v>2</v>
      </c>
      <c r="F21" s="1" t="s">
        <v>10</v>
      </c>
      <c r="G21" s="1">
        <v>6</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B5CCB-179B-468D-8A5E-F62C402AF6A1}">
  <dimension ref="A1:R62"/>
  <sheetViews>
    <sheetView workbookViewId="0">
      <selection activeCell="E66" sqref="E66"/>
    </sheetView>
  </sheetViews>
  <sheetFormatPr defaultRowHeight="14.4" x14ac:dyDescent="0.3"/>
  <cols>
    <col min="1" max="1" width="24.109375" customWidth="1"/>
    <col min="2" max="6" width="14.44140625" customWidth="1"/>
    <col min="7" max="7" width="3.33203125" customWidth="1"/>
    <col min="8" max="18" width="15.77734375" customWidth="1"/>
  </cols>
  <sheetData>
    <row r="1" spans="1:18" ht="23.4" x14ac:dyDescent="0.3">
      <c r="A1" s="44" t="s">
        <v>53</v>
      </c>
      <c r="B1" s="44"/>
      <c r="C1" s="44"/>
      <c r="D1" s="44"/>
      <c r="E1" s="44"/>
      <c r="F1" s="44"/>
      <c r="G1" s="44"/>
      <c r="H1" s="44"/>
      <c r="I1" s="44"/>
      <c r="J1" s="44"/>
      <c r="K1" s="44"/>
      <c r="L1" s="44"/>
      <c r="M1" s="44"/>
      <c r="N1" s="44"/>
      <c r="O1" s="44"/>
      <c r="P1" s="44"/>
      <c r="Q1" s="44"/>
      <c r="R1" s="44"/>
    </row>
    <row r="2" spans="1:18" x14ac:dyDescent="0.3">
      <c r="A2" s="4" t="s">
        <v>54</v>
      </c>
      <c r="B2" s="4"/>
      <c r="C2" s="4"/>
      <c r="D2" s="4"/>
      <c r="E2" s="4"/>
      <c r="F2" s="4"/>
      <c r="G2" s="4"/>
      <c r="H2" s="4"/>
      <c r="I2" s="4"/>
      <c r="J2" s="4"/>
      <c r="K2" s="4"/>
      <c r="L2" s="4"/>
      <c r="M2" s="4"/>
      <c r="N2" s="4"/>
      <c r="O2" s="4"/>
      <c r="P2" s="4"/>
      <c r="Q2" s="4"/>
      <c r="R2" s="4"/>
    </row>
    <row r="3" spans="1:18" x14ac:dyDescent="0.3">
      <c r="A3" s="5"/>
      <c r="B3" s="5"/>
      <c r="C3" s="5"/>
      <c r="D3" s="5"/>
      <c r="E3" s="5"/>
      <c r="F3" s="5"/>
      <c r="G3" s="5"/>
      <c r="H3" s="5"/>
      <c r="I3" s="5"/>
      <c r="J3" s="5"/>
      <c r="K3" s="5"/>
      <c r="L3" s="5"/>
      <c r="M3" s="5"/>
      <c r="N3" s="5"/>
      <c r="O3" s="5"/>
      <c r="P3" s="5"/>
      <c r="Q3" s="5"/>
      <c r="R3" s="5"/>
    </row>
    <row r="4" spans="1:18" x14ac:dyDescent="0.3">
      <c r="A4" s="6" t="s">
        <v>55</v>
      </c>
      <c r="B4" s="7" t="s">
        <v>56</v>
      </c>
      <c r="C4" s="7" t="s">
        <v>57</v>
      </c>
      <c r="D4" s="7" t="s">
        <v>58</v>
      </c>
      <c r="E4" s="7" t="s">
        <v>59</v>
      </c>
      <c r="F4" s="8" t="s">
        <v>60</v>
      </c>
      <c r="G4" s="5"/>
      <c r="H4" s="9" t="s">
        <v>61</v>
      </c>
      <c r="I4" s="10"/>
      <c r="J4" s="10"/>
      <c r="K4" s="10"/>
      <c r="L4" s="10"/>
      <c r="M4" s="10"/>
      <c r="N4" s="11"/>
      <c r="O4" s="45"/>
      <c r="P4" s="45"/>
      <c r="Q4" s="45"/>
      <c r="R4" s="45"/>
    </row>
    <row r="5" spans="1:18" x14ac:dyDescent="0.3">
      <c r="A5" s="12">
        <f>COUNTA(Data!$A$2:$A$21)</f>
        <v>20</v>
      </c>
      <c r="B5" s="13">
        <f>COUNTIF(Data!$F$2:$F$21,"Delivered")/COUNTA(Data!$A$2:$A$21)</f>
        <v>0.55000000000000004</v>
      </c>
      <c r="C5" s="14">
        <f>COUNTIF(Data!$F$2:$F$21,"Pending")</f>
        <v>5</v>
      </c>
      <c r="D5" s="14">
        <f>COUNTIF(Data!$F$2:$F$21,"Cancelled")</f>
        <v>2</v>
      </c>
      <c r="E5" s="14">
        <f>COUNTIF(Data!$F$2:$F$21,"Returned")</f>
        <v>2</v>
      </c>
      <c r="F5" s="15">
        <f>AVERAGE(Data!$G$2:$G$21)</f>
        <v>6.6</v>
      </c>
      <c r="G5" s="5"/>
      <c r="H5" s="16" t="s">
        <v>62</v>
      </c>
      <c r="I5" s="17"/>
      <c r="J5" s="17"/>
      <c r="K5" s="17"/>
      <c r="L5" s="17"/>
      <c r="M5" s="17"/>
      <c r="N5" s="18"/>
      <c r="O5" s="45"/>
      <c r="P5" s="45"/>
      <c r="Q5" s="45"/>
      <c r="R5" s="45"/>
    </row>
    <row r="6" spans="1:18" x14ac:dyDescent="0.3">
      <c r="A6" s="5"/>
      <c r="B6" s="5"/>
      <c r="C6" s="5"/>
      <c r="D6" s="5"/>
      <c r="E6" s="5"/>
      <c r="F6" s="5"/>
      <c r="G6" s="5"/>
      <c r="H6" s="5"/>
      <c r="I6" s="5"/>
      <c r="J6" s="5"/>
      <c r="K6" s="5"/>
      <c r="L6" s="5"/>
      <c r="M6" s="5"/>
      <c r="N6" s="5"/>
      <c r="O6" s="5"/>
      <c r="P6" s="5"/>
      <c r="Q6" s="5"/>
      <c r="R6" s="5"/>
    </row>
    <row r="7" spans="1:18" x14ac:dyDescent="0.3">
      <c r="A7" s="19" t="s">
        <v>63</v>
      </c>
      <c r="B7" s="20"/>
      <c r="C7" s="20"/>
      <c r="D7" s="20"/>
      <c r="E7" s="21"/>
      <c r="F7" s="5"/>
      <c r="G7" s="5"/>
      <c r="H7" s="5"/>
      <c r="I7" s="5"/>
      <c r="J7" s="5"/>
      <c r="K7" s="5"/>
      <c r="L7" s="5"/>
      <c r="M7" s="5"/>
      <c r="N7" s="5"/>
      <c r="O7" s="5"/>
      <c r="P7" s="5"/>
      <c r="Q7" s="5"/>
      <c r="R7" s="5"/>
    </row>
    <row r="8" spans="1:18" x14ac:dyDescent="0.3">
      <c r="A8" s="22" t="s">
        <v>2</v>
      </c>
      <c r="B8" s="23" t="s">
        <v>64</v>
      </c>
      <c r="C8" s="23" t="s">
        <v>4</v>
      </c>
      <c r="D8" s="23" t="s">
        <v>56</v>
      </c>
      <c r="E8" s="24" t="s">
        <v>60</v>
      </c>
      <c r="F8" s="5"/>
      <c r="G8" s="5"/>
      <c r="H8" s="5"/>
      <c r="I8" s="5"/>
      <c r="J8" s="5"/>
      <c r="K8" s="5"/>
      <c r="L8" s="5"/>
      <c r="M8" s="5"/>
      <c r="N8" s="5"/>
      <c r="O8" s="5"/>
      <c r="P8" s="5"/>
      <c r="Q8" s="5"/>
      <c r="R8" s="5"/>
    </row>
    <row r="9" spans="1:18" x14ac:dyDescent="0.3">
      <c r="A9" s="25" t="s">
        <v>20</v>
      </c>
      <c r="B9" s="26">
        <f>COUNTIF(Data!$C$2:$C$21,A9)</f>
        <v>2</v>
      </c>
      <c r="C9" s="26">
        <f>SUMIF(Data!$C$2:$C$21,A9,Data!$E$2:$E$21)</f>
        <v>4</v>
      </c>
      <c r="D9" s="27">
        <f>IFERROR(COUNTIFS(Data!$C$2:$C$21,A9,Data!$F$2:$F$21,"Delivered")/B9,0)</f>
        <v>1</v>
      </c>
      <c r="E9" s="28">
        <f>AVERAGEIF(Data!$C$2:$C$21,A9,Data!$G$2:$G$21)</f>
        <v>4.5</v>
      </c>
      <c r="F9" s="5"/>
      <c r="G9" s="5"/>
      <c r="H9" s="5"/>
      <c r="I9" s="5"/>
      <c r="J9" s="5"/>
      <c r="K9" s="5"/>
      <c r="L9" s="5"/>
      <c r="M9" s="5"/>
      <c r="N9" s="5"/>
      <c r="O9" s="5"/>
      <c r="P9" s="5"/>
      <c r="Q9" s="5"/>
      <c r="R9" s="5"/>
    </row>
    <row r="10" spans="1:18" x14ac:dyDescent="0.3">
      <c r="A10" s="25" t="s">
        <v>24</v>
      </c>
      <c r="B10" s="26">
        <f>COUNTIF(Data!$C$2:$C$21,A10)</f>
        <v>3</v>
      </c>
      <c r="C10" s="26">
        <f>SUMIF(Data!$C$2:$C$21,A10,Data!$E$2:$E$21)</f>
        <v>14</v>
      </c>
      <c r="D10" s="27">
        <f>IFERROR(COUNTIFS(Data!$C$2:$C$21,A10,Data!$F$2:$F$21,"Delivered")/B10,0)</f>
        <v>0.33333333333333331</v>
      </c>
      <c r="E10" s="28">
        <f>AVERAGEIF(Data!$C$2:$C$21,A10,Data!$G$2:$G$21)</f>
        <v>9.6666666666666661</v>
      </c>
      <c r="F10" s="5"/>
      <c r="G10" s="5"/>
      <c r="H10" s="5"/>
      <c r="I10" s="5"/>
      <c r="J10" s="5"/>
      <c r="K10" s="5"/>
      <c r="L10" s="5"/>
      <c r="M10" s="5"/>
      <c r="N10" s="5"/>
      <c r="O10" s="5"/>
      <c r="P10" s="5"/>
      <c r="Q10" s="5"/>
      <c r="R10" s="5"/>
    </row>
    <row r="11" spans="1:18" x14ac:dyDescent="0.3">
      <c r="A11" s="25" t="s">
        <v>15</v>
      </c>
      <c r="B11" s="26">
        <f>COUNTIF(Data!$C$2:$C$21,A11)</f>
        <v>3</v>
      </c>
      <c r="C11" s="26">
        <f>SUMIF(Data!$C$2:$C$21,A11,Data!$E$2:$E$21)</f>
        <v>8</v>
      </c>
      <c r="D11" s="27">
        <f>IFERROR(COUNTIFS(Data!$C$2:$C$21,A11,Data!$F$2:$F$21,"Delivered")/B11,0)</f>
        <v>0.66666666666666663</v>
      </c>
      <c r="E11" s="28">
        <f>AVERAGEIF(Data!$C$2:$C$21,A11,Data!$G$2:$G$21)</f>
        <v>6</v>
      </c>
      <c r="F11" s="5"/>
      <c r="G11" s="5"/>
      <c r="H11" s="5"/>
      <c r="I11" s="5"/>
      <c r="J11" s="5"/>
      <c r="K11" s="5"/>
      <c r="L11" s="5"/>
      <c r="M11" s="5"/>
      <c r="N11" s="5"/>
      <c r="O11" s="5"/>
      <c r="P11" s="5"/>
      <c r="Q11" s="5"/>
      <c r="R11" s="5"/>
    </row>
    <row r="12" spans="1:18" x14ac:dyDescent="0.3">
      <c r="A12" s="25" t="s">
        <v>33</v>
      </c>
      <c r="B12" s="26">
        <f>COUNTIF(Data!$C$2:$C$21,A12)</f>
        <v>1</v>
      </c>
      <c r="C12" s="26">
        <f>SUMIF(Data!$C$2:$C$21,A12,Data!$E$2:$E$21)</f>
        <v>1</v>
      </c>
      <c r="D12" s="27">
        <f>IFERROR(COUNTIFS(Data!$C$2:$C$21,A12,Data!$F$2:$F$21,"Delivered")/B12,0)</f>
        <v>1</v>
      </c>
      <c r="E12" s="28">
        <f>AVERAGEIF(Data!$C$2:$C$21,A12,Data!$G$2:$G$21)</f>
        <v>3</v>
      </c>
      <c r="F12" s="5"/>
      <c r="G12" s="5"/>
      <c r="H12" s="5"/>
      <c r="I12" s="5"/>
      <c r="J12" s="5"/>
      <c r="K12" s="5"/>
      <c r="L12" s="5"/>
      <c r="M12" s="5"/>
      <c r="N12" s="5"/>
      <c r="O12" s="5"/>
      <c r="P12" s="5"/>
      <c r="Q12" s="5"/>
      <c r="R12" s="5"/>
    </row>
    <row r="13" spans="1:18" x14ac:dyDescent="0.3">
      <c r="A13" s="25" t="s">
        <v>30</v>
      </c>
      <c r="B13" s="26">
        <f>COUNTIF(Data!$C$2:$C$21,A13)</f>
        <v>2</v>
      </c>
      <c r="C13" s="26">
        <f>SUMIF(Data!$C$2:$C$21,A13,Data!$E$2:$E$21)</f>
        <v>2</v>
      </c>
      <c r="D13" s="27">
        <f>IFERROR(COUNTIFS(Data!$C$2:$C$21,A13,Data!$F$2:$F$21,"Delivered")/B13,0)</f>
        <v>1</v>
      </c>
      <c r="E13" s="28">
        <f>AVERAGEIF(Data!$C$2:$C$21,A13,Data!$G$2:$G$21)</f>
        <v>4.5</v>
      </c>
      <c r="F13" s="5"/>
      <c r="G13" s="5"/>
      <c r="H13" s="5"/>
      <c r="I13" s="5"/>
      <c r="J13" s="5"/>
      <c r="K13" s="5"/>
      <c r="L13" s="5"/>
      <c r="M13" s="5"/>
      <c r="N13" s="5"/>
      <c r="O13" s="5"/>
      <c r="P13" s="5"/>
      <c r="Q13" s="5"/>
      <c r="R13" s="5"/>
    </row>
    <row r="14" spans="1:18" x14ac:dyDescent="0.3">
      <c r="A14" s="25" t="s">
        <v>12</v>
      </c>
      <c r="B14" s="26">
        <f>COUNTIF(Data!$C$2:$C$21,A14)</f>
        <v>3</v>
      </c>
      <c r="C14" s="26">
        <f>SUMIF(Data!$C$2:$C$21,A14,Data!$E$2:$E$21)</f>
        <v>9</v>
      </c>
      <c r="D14" s="27">
        <f>IFERROR(COUNTIFS(Data!$C$2:$C$21,A14,Data!$F$2:$F$21,"Delivered")/B14,0)</f>
        <v>0.33333333333333331</v>
      </c>
      <c r="E14" s="28">
        <f>AVERAGEIF(Data!$C$2:$C$21,A14,Data!$G$2:$G$21)</f>
        <v>9.6666666666666661</v>
      </c>
      <c r="F14" s="5"/>
      <c r="G14" s="5"/>
      <c r="H14" s="5"/>
      <c r="I14" s="5"/>
      <c r="J14" s="5"/>
      <c r="K14" s="5"/>
      <c r="L14" s="5"/>
      <c r="M14" s="5"/>
      <c r="N14" s="5"/>
      <c r="O14" s="5"/>
      <c r="P14" s="5"/>
      <c r="Q14" s="5"/>
      <c r="R14" s="5"/>
    </row>
    <row r="15" spans="1:18" x14ac:dyDescent="0.3">
      <c r="A15" s="25" t="s">
        <v>8</v>
      </c>
      <c r="B15" s="26">
        <f>COUNTIF(Data!$C$2:$C$21,A15)</f>
        <v>6</v>
      </c>
      <c r="C15" s="26">
        <f>SUMIF(Data!$C$2:$C$21,A15,Data!$E$2:$E$21)</f>
        <v>16</v>
      </c>
      <c r="D15" s="27">
        <f>IFERROR(COUNTIFS(Data!$C$2:$C$21,A15,Data!$F$2:$F$21,"Delivered")/B15,0)</f>
        <v>0.33333333333333331</v>
      </c>
      <c r="E15" s="28">
        <f>AVERAGEIF(Data!$C$2:$C$21,A15,Data!$G$2:$G$21)</f>
        <v>5.833333333333333</v>
      </c>
      <c r="F15" s="5"/>
      <c r="G15" s="5"/>
      <c r="H15" s="5"/>
      <c r="I15" s="5"/>
      <c r="J15" s="5"/>
      <c r="K15" s="5"/>
      <c r="L15" s="5"/>
      <c r="M15" s="5"/>
      <c r="N15" s="5"/>
      <c r="O15" s="5"/>
      <c r="P15" s="5"/>
      <c r="Q15" s="5"/>
      <c r="R15" s="5"/>
    </row>
    <row r="16" spans="1:18" x14ac:dyDescent="0.3">
      <c r="A16" s="29" t="s">
        <v>65</v>
      </c>
      <c r="B16" s="30">
        <f>SUM(B9:B15)</f>
        <v>20</v>
      </c>
      <c r="C16" s="30">
        <f>SUM(C9:C15)</f>
        <v>54</v>
      </c>
      <c r="D16" s="31">
        <f>COUNTIF(Data!$F$2:$F$21,"Delivered")/COUNTA(Data!$A$2:$A$21)</f>
        <v>0.55000000000000004</v>
      </c>
      <c r="E16" s="32">
        <f>AVERAGE(Data!$G$2:$G$21)</f>
        <v>6.6</v>
      </c>
      <c r="F16" s="5"/>
      <c r="G16" s="5"/>
      <c r="H16" s="5"/>
      <c r="I16" s="5"/>
      <c r="J16" s="5"/>
      <c r="K16" s="5"/>
      <c r="L16" s="5"/>
      <c r="M16" s="5"/>
      <c r="N16" s="5"/>
      <c r="O16" s="5"/>
      <c r="P16" s="5"/>
      <c r="Q16" s="5"/>
      <c r="R16" s="5"/>
    </row>
    <row r="17" spans="1:18" x14ac:dyDescent="0.3">
      <c r="A17" s="5"/>
      <c r="B17" s="5"/>
      <c r="C17" s="5"/>
      <c r="D17" s="5"/>
      <c r="E17" s="5"/>
      <c r="F17" s="5"/>
      <c r="G17" s="5"/>
      <c r="H17" s="5"/>
      <c r="I17" s="5"/>
      <c r="J17" s="5"/>
      <c r="K17" s="5"/>
      <c r="L17" s="5"/>
      <c r="M17" s="5"/>
      <c r="N17" s="5"/>
      <c r="O17" s="5"/>
      <c r="P17" s="5"/>
      <c r="Q17" s="5"/>
      <c r="R17" s="5"/>
    </row>
    <row r="18" spans="1:18" x14ac:dyDescent="0.3">
      <c r="A18" s="5"/>
      <c r="B18" s="5"/>
      <c r="C18" s="5"/>
      <c r="D18" s="5"/>
      <c r="E18" s="5"/>
      <c r="F18" s="5"/>
      <c r="G18" s="5"/>
      <c r="H18" s="5"/>
      <c r="I18" s="5"/>
      <c r="J18" s="5"/>
      <c r="K18" s="5"/>
      <c r="L18" s="5"/>
      <c r="M18" s="5"/>
      <c r="N18" s="5"/>
      <c r="O18" s="5"/>
      <c r="P18" s="5"/>
      <c r="Q18" s="5"/>
      <c r="R18" s="5"/>
    </row>
    <row r="19" spans="1:18" x14ac:dyDescent="0.3">
      <c r="A19" s="19" t="s">
        <v>66</v>
      </c>
      <c r="B19" s="20"/>
      <c r="C19" s="21"/>
      <c r="D19" s="5"/>
      <c r="E19" s="5"/>
      <c r="F19" s="5"/>
      <c r="G19" s="5"/>
      <c r="H19" s="5"/>
      <c r="I19" s="5"/>
      <c r="J19" s="5"/>
      <c r="K19" s="5"/>
      <c r="L19" s="5"/>
      <c r="M19" s="5"/>
      <c r="N19" s="5"/>
      <c r="O19" s="5"/>
      <c r="P19" s="5"/>
      <c r="Q19" s="5"/>
      <c r="R19" s="5"/>
    </row>
    <row r="20" spans="1:18" x14ac:dyDescent="0.3">
      <c r="A20" s="25"/>
      <c r="B20" s="26"/>
      <c r="C20" s="33"/>
      <c r="D20" s="5"/>
      <c r="E20" s="5"/>
      <c r="F20" s="5"/>
      <c r="G20" s="5"/>
      <c r="H20" s="5"/>
      <c r="I20" s="5"/>
      <c r="J20" s="5"/>
      <c r="K20" s="5"/>
      <c r="L20" s="5"/>
      <c r="M20" s="5"/>
      <c r="N20" s="5"/>
      <c r="O20" s="5"/>
      <c r="P20" s="5"/>
      <c r="Q20" s="5"/>
      <c r="R20" s="5"/>
    </row>
    <row r="21" spans="1:18" x14ac:dyDescent="0.3">
      <c r="A21" s="22" t="s">
        <v>67</v>
      </c>
      <c r="B21" s="23" t="s">
        <v>64</v>
      </c>
      <c r="C21" s="24" t="s">
        <v>68</v>
      </c>
      <c r="D21" s="5"/>
      <c r="E21" s="5"/>
      <c r="F21" s="5"/>
      <c r="G21" s="5"/>
      <c r="H21" s="5"/>
      <c r="I21" s="5"/>
      <c r="J21" s="5"/>
      <c r="K21" s="5"/>
      <c r="L21" s="5"/>
      <c r="M21" s="5"/>
      <c r="N21" s="5"/>
      <c r="O21" s="5"/>
      <c r="P21" s="5"/>
      <c r="Q21" s="5"/>
      <c r="R21" s="5"/>
    </row>
    <row r="22" spans="1:18" x14ac:dyDescent="0.3">
      <c r="A22" s="25" t="s">
        <v>10</v>
      </c>
      <c r="B22" s="34">
        <f>COUNTIF(Data!$F$2:$F$21,A22)</f>
        <v>11</v>
      </c>
      <c r="C22" s="35">
        <f>B22/SUM($B$22:$B$25)</f>
        <v>0.55000000000000004</v>
      </c>
      <c r="D22" s="5"/>
      <c r="E22" s="5"/>
      <c r="F22" s="5"/>
      <c r="G22" s="5"/>
      <c r="H22" s="5"/>
      <c r="I22" s="5"/>
      <c r="J22" s="5"/>
      <c r="K22" s="5"/>
      <c r="L22" s="5"/>
      <c r="M22" s="5"/>
      <c r="N22" s="5"/>
      <c r="O22" s="5"/>
      <c r="P22" s="5"/>
      <c r="Q22" s="5"/>
      <c r="R22" s="5"/>
    </row>
    <row r="23" spans="1:18" x14ac:dyDescent="0.3">
      <c r="A23" s="25" t="s">
        <v>14</v>
      </c>
      <c r="B23" s="36">
        <f>COUNTIF(Data!$F$2:$F$21,A23)</f>
        <v>5</v>
      </c>
      <c r="C23" s="35">
        <f>B23/SUM($B$22:$B$25)</f>
        <v>0.25</v>
      </c>
      <c r="D23" s="5"/>
      <c r="E23" s="5"/>
      <c r="F23" s="5"/>
      <c r="G23" s="5"/>
      <c r="H23" s="5"/>
      <c r="I23" s="5"/>
      <c r="J23" s="5"/>
      <c r="K23" s="5"/>
      <c r="L23" s="5"/>
      <c r="M23" s="5"/>
      <c r="N23" s="5"/>
      <c r="O23" s="5"/>
      <c r="P23" s="5"/>
      <c r="Q23" s="5"/>
      <c r="R23" s="5"/>
    </row>
    <row r="24" spans="1:18" x14ac:dyDescent="0.3">
      <c r="A24" s="25" t="s">
        <v>19</v>
      </c>
      <c r="B24" s="37">
        <f>COUNTIF(Data!$F$2:$F$21,A24)</f>
        <v>2</v>
      </c>
      <c r="C24" s="35">
        <f>B24/SUM($B$22:$B$25)</f>
        <v>0.1</v>
      </c>
      <c r="D24" s="5"/>
      <c r="E24" s="5"/>
      <c r="F24" s="5"/>
      <c r="G24" s="5"/>
      <c r="H24" s="5"/>
      <c r="I24" s="5"/>
      <c r="J24" s="5"/>
      <c r="K24" s="5"/>
      <c r="L24" s="5"/>
      <c r="M24" s="5"/>
      <c r="N24" s="5"/>
      <c r="O24" s="5"/>
      <c r="P24" s="5"/>
      <c r="Q24" s="5"/>
      <c r="R24" s="5"/>
    </row>
    <row r="25" spans="1:18" x14ac:dyDescent="0.3">
      <c r="A25" s="25" t="s">
        <v>28</v>
      </c>
      <c r="B25" s="38">
        <f>COUNTIF(Data!$F$2:$F$21,A25)</f>
        <v>2</v>
      </c>
      <c r="C25" s="35">
        <f>B25/SUM($B$22:$B$25)</f>
        <v>0.1</v>
      </c>
      <c r="D25" s="5"/>
      <c r="E25" s="5"/>
      <c r="F25" s="5"/>
      <c r="G25" s="5"/>
      <c r="H25" s="5"/>
      <c r="I25" s="5"/>
      <c r="J25" s="5"/>
      <c r="K25" s="5"/>
      <c r="L25" s="5"/>
      <c r="M25" s="5"/>
      <c r="N25" s="5"/>
      <c r="O25" s="5"/>
      <c r="P25" s="5"/>
      <c r="Q25" s="5"/>
      <c r="R25" s="5"/>
    </row>
    <row r="26" spans="1:18" x14ac:dyDescent="0.3">
      <c r="A26" s="39" t="s">
        <v>69</v>
      </c>
      <c r="B26" s="40">
        <f>SUM(B22:B25)</f>
        <v>20</v>
      </c>
      <c r="C26" s="41">
        <f>SUM(C22:C25)</f>
        <v>1</v>
      </c>
      <c r="D26" s="5"/>
      <c r="E26" s="5"/>
      <c r="F26" s="5"/>
      <c r="G26" s="5"/>
      <c r="H26" s="5"/>
      <c r="I26" s="5"/>
      <c r="J26" s="5"/>
      <c r="K26" s="5"/>
      <c r="L26" s="5"/>
      <c r="M26" s="5"/>
      <c r="N26" s="5"/>
      <c r="O26" s="5"/>
      <c r="P26" s="5"/>
      <c r="Q26" s="5"/>
      <c r="R26" s="5"/>
    </row>
    <row r="27" spans="1:18" x14ac:dyDescent="0.3">
      <c r="A27" s="19" t="s">
        <v>70</v>
      </c>
      <c r="B27" s="20"/>
      <c r="C27" s="20"/>
      <c r="D27" s="21"/>
      <c r="E27" s="5"/>
      <c r="F27" s="5"/>
      <c r="G27" s="5"/>
      <c r="H27" s="5"/>
      <c r="I27" s="5"/>
      <c r="J27" s="5"/>
      <c r="K27" s="5"/>
      <c r="L27" s="5"/>
      <c r="M27" s="5"/>
      <c r="N27" s="5"/>
      <c r="O27" s="5"/>
      <c r="P27" s="5"/>
      <c r="Q27" s="5"/>
      <c r="R27" s="5"/>
    </row>
    <row r="28" spans="1:18" x14ac:dyDescent="0.3">
      <c r="A28" s="25"/>
      <c r="B28" s="26"/>
      <c r="C28" s="26"/>
      <c r="D28" s="33"/>
      <c r="E28" s="5"/>
      <c r="F28" s="5"/>
      <c r="G28" s="5"/>
      <c r="H28" s="5"/>
      <c r="I28" s="5"/>
      <c r="J28" s="5"/>
      <c r="K28" s="5"/>
      <c r="L28" s="5"/>
      <c r="M28" s="5"/>
      <c r="N28" s="5"/>
      <c r="O28" s="5"/>
      <c r="P28" s="5"/>
      <c r="Q28" s="5"/>
      <c r="R28" s="5"/>
    </row>
    <row r="29" spans="1:18" x14ac:dyDescent="0.3">
      <c r="A29" s="22" t="s">
        <v>3</v>
      </c>
      <c r="B29" s="23" t="s">
        <v>64</v>
      </c>
      <c r="C29" s="23" t="s">
        <v>4</v>
      </c>
      <c r="D29" s="24" t="s">
        <v>60</v>
      </c>
      <c r="E29" s="5"/>
      <c r="F29" s="5"/>
      <c r="G29" s="5"/>
      <c r="H29" s="5"/>
      <c r="I29" s="5"/>
      <c r="J29" s="5"/>
      <c r="K29" s="5"/>
      <c r="L29" s="5"/>
      <c r="M29" s="5"/>
      <c r="N29" s="5"/>
      <c r="O29" s="5"/>
      <c r="P29" s="5"/>
      <c r="Q29" s="5"/>
      <c r="R29" s="5"/>
    </row>
    <row r="30" spans="1:18" x14ac:dyDescent="0.3">
      <c r="A30" s="25" t="s">
        <v>16</v>
      </c>
      <c r="B30" s="26">
        <f>COUNTIF(Data!$D$2:$D$21,A30)</f>
        <v>3</v>
      </c>
      <c r="C30" s="26">
        <f>SUMIF(Data!$D$2:$D$21,A30,Data!$E$2:$E$21)</f>
        <v>4</v>
      </c>
      <c r="D30" s="28">
        <f>AVERAGEIF(Data!$D$2:$D$21,A30,Data!$G$2:$G$21)</f>
        <v>4.333333333333333</v>
      </c>
      <c r="E30" s="5"/>
      <c r="F30" s="5"/>
      <c r="G30" s="5"/>
      <c r="H30" s="5"/>
      <c r="I30" s="5"/>
      <c r="J30" s="5"/>
      <c r="K30" s="5"/>
      <c r="L30" s="5"/>
      <c r="M30" s="5"/>
      <c r="N30" s="5"/>
      <c r="O30" s="5"/>
      <c r="P30" s="5"/>
      <c r="Q30" s="5"/>
      <c r="R30" s="5"/>
    </row>
    <row r="31" spans="1:18" x14ac:dyDescent="0.3">
      <c r="A31" s="25" t="s">
        <v>9</v>
      </c>
      <c r="B31" s="26">
        <f>COUNTIF(Data!$D$2:$D$21,A31)</f>
        <v>5</v>
      </c>
      <c r="C31" s="26">
        <f>SUMIF(Data!$D$2:$D$21,A31,Data!$E$2:$E$21)</f>
        <v>9</v>
      </c>
      <c r="D31" s="28">
        <f>AVERAGEIF(Data!$D$2:$D$21,A31,Data!$G$2:$G$21)</f>
        <v>5.8</v>
      </c>
      <c r="E31" s="5"/>
      <c r="F31" s="5"/>
      <c r="G31" s="5"/>
      <c r="H31" s="5"/>
      <c r="I31" s="5"/>
      <c r="J31" s="5"/>
      <c r="K31" s="5"/>
      <c r="L31" s="5"/>
      <c r="M31" s="5"/>
      <c r="N31" s="5"/>
      <c r="O31" s="5"/>
      <c r="P31" s="5"/>
      <c r="Q31" s="5"/>
      <c r="R31" s="5"/>
    </row>
    <row r="32" spans="1:18" x14ac:dyDescent="0.3">
      <c r="A32" s="25" t="s">
        <v>18</v>
      </c>
      <c r="B32" s="26">
        <f>COUNTIF(Data!$D$2:$D$21,A32)</f>
        <v>3</v>
      </c>
      <c r="C32" s="26">
        <f>SUMIF(Data!$D$2:$D$21,A32,Data!$E$2:$E$21)</f>
        <v>4</v>
      </c>
      <c r="D32" s="28">
        <f>AVERAGEIF(Data!$D$2:$D$21,A32,Data!$G$2:$G$21)</f>
        <v>3</v>
      </c>
      <c r="E32" s="5"/>
      <c r="F32" s="5"/>
      <c r="G32" s="5"/>
      <c r="H32" s="5"/>
      <c r="I32" s="5"/>
      <c r="J32" s="5"/>
      <c r="K32" s="5"/>
      <c r="L32" s="5"/>
      <c r="M32" s="5"/>
      <c r="N32" s="5"/>
      <c r="O32" s="5"/>
      <c r="P32" s="5"/>
      <c r="Q32" s="5"/>
      <c r="R32" s="5"/>
    </row>
    <row r="33" spans="1:18" x14ac:dyDescent="0.3">
      <c r="A33" s="25" t="s">
        <v>13</v>
      </c>
      <c r="B33" s="26">
        <f>COUNTIF(Data!$D$2:$D$21,A33)</f>
        <v>4</v>
      </c>
      <c r="C33" s="26">
        <f>SUMIF(Data!$D$2:$D$21,A33,Data!$E$2:$E$21)</f>
        <v>25</v>
      </c>
      <c r="D33" s="28">
        <f>AVERAGEIF(Data!$D$2:$D$21,A33,Data!$G$2:$G$21)</f>
        <v>10.75</v>
      </c>
      <c r="E33" s="5"/>
      <c r="F33" s="5"/>
      <c r="G33" s="5"/>
      <c r="H33" s="5"/>
      <c r="I33" s="5"/>
      <c r="J33" s="5"/>
      <c r="K33" s="5"/>
      <c r="L33" s="5"/>
      <c r="M33" s="5"/>
      <c r="N33" s="5"/>
      <c r="O33" s="5"/>
      <c r="P33" s="5"/>
      <c r="Q33" s="5"/>
      <c r="R33" s="5"/>
    </row>
    <row r="34" spans="1:18" x14ac:dyDescent="0.3">
      <c r="A34" s="25" t="s">
        <v>22</v>
      </c>
      <c r="B34" s="26">
        <f>COUNTIF(Data!$D$2:$D$21,A34)</f>
        <v>3</v>
      </c>
      <c r="C34" s="26">
        <f>SUMIF(Data!$D$2:$D$21,A34,Data!$E$2:$E$21)</f>
        <v>7</v>
      </c>
      <c r="D34" s="28">
        <f>AVERAGEIF(Data!$D$2:$D$21,A34,Data!$G$2:$G$21)</f>
        <v>6</v>
      </c>
      <c r="E34" s="5"/>
      <c r="F34" s="5"/>
      <c r="G34" s="5"/>
      <c r="H34" s="5"/>
      <c r="I34" s="5"/>
      <c r="J34" s="5"/>
      <c r="K34" s="5"/>
      <c r="L34" s="5"/>
      <c r="M34" s="5"/>
      <c r="N34" s="5"/>
      <c r="O34" s="5"/>
      <c r="P34" s="5"/>
      <c r="Q34" s="5"/>
      <c r="R34" s="5"/>
    </row>
    <row r="35" spans="1:18" x14ac:dyDescent="0.3">
      <c r="A35" s="25" t="s">
        <v>26</v>
      </c>
      <c r="B35" s="26">
        <f>COUNTIF(Data!$D$2:$D$21,A35)</f>
        <v>2</v>
      </c>
      <c r="C35" s="26">
        <f>SUMIF(Data!$D$2:$D$21,A35,Data!$E$2:$E$21)</f>
        <v>5</v>
      </c>
      <c r="D35" s="28">
        <f>AVERAGEIF(Data!$D$2:$D$21,A35,Data!$G$2:$G$21)</f>
        <v>10</v>
      </c>
      <c r="E35" s="5"/>
      <c r="F35" s="5"/>
      <c r="G35" s="5"/>
      <c r="H35" s="5"/>
      <c r="I35" s="5"/>
      <c r="J35" s="5"/>
      <c r="K35" s="5"/>
      <c r="L35" s="5"/>
      <c r="M35" s="5"/>
      <c r="N35" s="5"/>
      <c r="O35" s="5"/>
      <c r="P35" s="5"/>
      <c r="Q35" s="5"/>
      <c r="R35" s="5"/>
    </row>
    <row r="36" spans="1:18" x14ac:dyDescent="0.3">
      <c r="A36" s="29" t="s">
        <v>65</v>
      </c>
      <c r="B36" s="30">
        <f>SUM(B30:B35)</f>
        <v>20</v>
      </c>
      <c r="C36" s="30">
        <f>SUM(C30:C35)</f>
        <v>54</v>
      </c>
      <c r="D36" s="32">
        <f>AVERAGE(Data!$G$2:$G$21)</f>
        <v>6.6</v>
      </c>
      <c r="E36" s="5"/>
      <c r="F36" s="5"/>
      <c r="G36" s="5"/>
      <c r="H36" s="5"/>
      <c r="I36" s="5"/>
      <c r="J36" s="5"/>
      <c r="K36" s="5"/>
      <c r="L36" s="5"/>
      <c r="M36" s="5"/>
      <c r="N36" s="5"/>
      <c r="O36" s="5"/>
      <c r="P36" s="5"/>
      <c r="Q36" s="5"/>
      <c r="R36" s="5"/>
    </row>
    <row r="37" spans="1:18" x14ac:dyDescent="0.3">
      <c r="A37" s="5"/>
      <c r="B37" s="5"/>
      <c r="C37" s="5"/>
      <c r="D37" s="5"/>
      <c r="E37" s="5"/>
      <c r="F37" s="5"/>
      <c r="G37" s="5"/>
      <c r="H37" s="5"/>
      <c r="I37" s="5"/>
      <c r="J37" s="5"/>
      <c r="K37" s="5"/>
      <c r="L37" s="5"/>
      <c r="M37" s="5"/>
      <c r="N37" s="5"/>
      <c r="O37" s="5"/>
      <c r="P37" s="5"/>
      <c r="Q37" s="5"/>
      <c r="R37" s="5"/>
    </row>
    <row r="38" spans="1:18" x14ac:dyDescent="0.3">
      <c r="A38" s="5"/>
      <c r="B38" s="5"/>
      <c r="C38" s="5"/>
      <c r="D38" s="5"/>
      <c r="E38" s="5"/>
      <c r="F38" s="5"/>
      <c r="G38" s="5"/>
      <c r="H38" s="5"/>
      <c r="I38" s="5"/>
      <c r="J38" s="5"/>
      <c r="K38" s="5"/>
      <c r="L38" s="5"/>
      <c r="M38" s="5"/>
      <c r="N38" s="5"/>
      <c r="O38" s="5"/>
      <c r="P38" s="5"/>
      <c r="Q38" s="5"/>
      <c r="R38" s="5"/>
    </row>
    <row r="39" spans="1:18" x14ac:dyDescent="0.3">
      <c r="A39" s="19" t="s">
        <v>71</v>
      </c>
      <c r="B39" s="20"/>
      <c r="C39" s="20"/>
      <c r="D39" s="20"/>
      <c r="E39" s="21"/>
      <c r="F39" s="5"/>
      <c r="G39" s="5"/>
      <c r="H39" s="5"/>
      <c r="I39" s="5"/>
      <c r="J39" s="5"/>
      <c r="K39" s="5"/>
      <c r="L39" s="5"/>
      <c r="M39" s="5"/>
      <c r="N39" s="5"/>
      <c r="O39" s="5"/>
      <c r="P39" s="5"/>
      <c r="Q39" s="5"/>
      <c r="R39" s="5"/>
    </row>
    <row r="40" spans="1:18" x14ac:dyDescent="0.3">
      <c r="A40" s="25"/>
      <c r="B40" s="26"/>
      <c r="C40" s="26"/>
      <c r="D40" s="26"/>
      <c r="E40" s="33"/>
      <c r="F40" s="5"/>
      <c r="G40" s="5"/>
      <c r="H40" s="5"/>
      <c r="I40" s="5"/>
      <c r="J40" s="5"/>
      <c r="K40" s="5"/>
      <c r="L40" s="5"/>
      <c r="M40" s="5"/>
      <c r="N40" s="5"/>
      <c r="O40" s="5"/>
      <c r="P40" s="5"/>
      <c r="Q40" s="5"/>
      <c r="R40" s="5"/>
    </row>
    <row r="41" spans="1:18" x14ac:dyDescent="0.3">
      <c r="A41" s="22" t="s">
        <v>2</v>
      </c>
      <c r="B41" s="23" t="s">
        <v>10</v>
      </c>
      <c r="C41" s="23" t="s">
        <v>14</v>
      </c>
      <c r="D41" s="23" t="s">
        <v>19</v>
      </c>
      <c r="E41" s="24" t="s">
        <v>28</v>
      </c>
      <c r="F41" s="5"/>
      <c r="G41" s="5"/>
      <c r="H41" s="5"/>
      <c r="I41" s="5"/>
      <c r="J41" s="5"/>
      <c r="K41" s="5"/>
      <c r="L41" s="5"/>
      <c r="M41" s="5"/>
      <c r="N41" s="5"/>
      <c r="O41" s="5"/>
      <c r="P41" s="5"/>
      <c r="Q41" s="5"/>
      <c r="R41" s="5"/>
    </row>
    <row r="42" spans="1:18" x14ac:dyDescent="0.3">
      <c r="A42" s="25" t="s">
        <v>20</v>
      </c>
      <c r="B42" s="26">
        <f>COUNTIFS(Data!$C$2:$C$21,$A42,Data!$F$2:$F$21,B$41)</f>
        <v>2</v>
      </c>
      <c r="C42" s="26">
        <f>COUNTIFS(Data!$C$2:$C$21,$A42,Data!$F$2:$F$21,C$41)</f>
        <v>0</v>
      </c>
      <c r="D42" s="26">
        <f>COUNTIFS(Data!$C$2:$C$21,$A42,Data!$F$2:$F$21,D$41)</f>
        <v>0</v>
      </c>
      <c r="E42" s="33">
        <f>COUNTIFS(Data!$C$2:$C$21,$A42,Data!$F$2:$F$21,E$41)</f>
        <v>0</v>
      </c>
      <c r="F42" s="5"/>
      <c r="G42" s="5"/>
      <c r="H42" s="5"/>
      <c r="I42" s="5"/>
      <c r="J42" s="5"/>
      <c r="K42" s="5"/>
      <c r="L42" s="5"/>
      <c r="M42" s="5"/>
      <c r="N42" s="5"/>
      <c r="O42" s="5"/>
      <c r="P42" s="5"/>
      <c r="Q42" s="5"/>
      <c r="R42" s="5"/>
    </row>
    <row r="43" spans="1:18" x14ac:dyDescent="0.3">
      <c r="A43" s="25" t="s">
        <v>24</v>
      </c>
      <c r="B43" s="26">
        <f>COUNTIFS(Data!$C$2:$C$21,$A43,Data!$F$2:$F$21,B$41)</f>
        <v>1</v>
      </c>
      <c r="C43" s="26">
        <f>COUNTIFS(Data!$C$2:$C$21,$A43,Data!$F$2:$F$21,C$41)</f>
        <v>1</v>
      </c>
      <c r="D43" s="26">
        <f>COUNTIFS(Data!$C$2:$C$21,$A43,Data!$F$2:$F$21,D$41)</f>
        <v>1</v>
      </c>
      <c r="E43" s="33">
        <f>COUNTIFS(Data!$C$2:$C$21,$A43,Data!$F$2:$F$21,E$41)</f>
        <v>0</v>
      </c>
      <c r="F43" s="5"/>
      <c r="G43" s="5"/>
      <c r="H43" s="5"/>
      <c r="I43" s="5"/>
      <c r="J43" s="5"/>
      <c r="K43" s="5"/>
      <c r="L43" s="5"/>
      <c r="M43" s="5"/>
      <c r="N43" s="5"/>
      <c r="O43" s="5"/>
      <c r="P43" s="5"/>
      <c r="Q43" s="5"/>
      <c r="R43" s="5"/>
    </row>
    <row r="44" spans="1:18" x14ac:dyDescent="0.3">
      <c r="A44" s="25" t="s">
        <v>15</v>
      </c>
      <c r="B44" s="26">
        <f>COUNTIFS(Data!$C$2:$C$21,$A44,Data!$F$2:$F$21,B$41)</f>
        <v>2</v>
      </c>
      <c r="C44" s="26">
        <f>COUNTIFS(Data!$C$2:$C$21,$A44,Data!$F$2:$F$21,C$41)</f>
        <v>0</v>
      </c>
      <c r="D44" s="26">
        <f>COUNTIFS(Data!$C$2:$C$21,$A44,Data!$F$2:$F$21,D$41)</f>
        <v>0</v>
      </c>
      <c r="E44" s="33">
        <f>COUNTIFS(Data!$C$2:$C$21,$A44,Data!$F$2:$F$21,E$41)</f>
        <v>1</v>
      </c>
      <c r="F44" s="5"/>
      <c r="G44" s="5"/>
      <c r="H44" s="5"/>
      <c r="I44" s="5"/>
      <c r="J44" s="5"/>
      <c r="K44" s="5"/>
      <c r="L44" s="5"/>
      <c r="M44" s="5"/>
      <c r="N44" s="5"/>
      <c r="O44" s="5"/>
      <c r="P44" s="5"/>
      <c r="Q44" s="5"/>
      <c r="R44" s="5"/>
    </row>
    <row r="45" spans="1:18" x14ac:dyDescent="0.3">
      <c r="A45" s="25" t="s">
        <v>33</v>
      </c>
      <c r="B45" s="26">
        <f>COUNTIFS(Data!$C$2:$C$21,$A45,Data!$F$2:$F$21,B$41)</f>
        <v>1</v>
      </c>
      <c r="C45" s="26">
        <f>COUNTIFS(Data!$C$2:$C$21,$A45,Data!$F$2:$F$21,C$41)</f>
        <v>0</v>
      </c>
      <c r="D45" s="26">
        <f>COUNTIFS(Data!$C$2:$C$21,$A45,Data!$F$2:$F$21,D$41)</f>
        <v>0</v>
      </c>
      <c r="E45" s="33">
        <f>COUNTIFS(Data!$C$2:$C$21,$A45,Data!$F$2:$F$21,E$41)</f>
        <v>0</v>
      </c>
      <c r="F45" s="5"/>
      <c r="G45" s="5"/>
      <c r="H45" s="5"/>
      <c r="I45" s="5"/>
      <c r="J45" s="5"/>
      <c r="K45" s="5"/>
      <c r="L45" s="5"/>
      <c r="M45" s="5"/>
      <c r="N45" s="5"/>
      <c r="O45" s="5"/>
      <c r="P45" s="5"/>
      <c r="Q45" s="5"/>
      <c r="R45" s="5"/>
    </row>
    <row r="46" spans="1:18" x14ac:dyDescent="0.3">
      <c r="A46" s="25" t="s">
        <v>30</v>
      </c>
      <c r="B46" s="26">
        <f>COUNTIFS(Data!$C$2:$C$21,$A46,Data!$F$2:$F$21,B$41)</f>
        <v>2</v>
      </c>
      <c r="C46" s="26">
        <f>COUNTIFS(Data!$C$2:$C$21,$A46,Data!$F$2:$F$21,C$41)</f>
        <v>0</v>
      </c>
      <c r="D46" s="26">
        <f>COUNTIFS(Data!$C$2:$C$21,$A46,Data!$F$2:$F$21,D$41)</f>
        <v>0</v>
      </c>
      <c r="E46" s="33">
        <f>COUNTIFS(Data!$C$2:$C$21,$A46,Data!$F$2:$F$21,E$41)</f>
        <v>0</v>
      </c>
      <c r="F46" s="5"/>
      <c r="G46" s="5"/>
      <c r="H46" s="5"/>
      <c r="I46" s="5"/>
      <c r="J46" s="5"/>
      <c r="K46" s="5"/>
      <c r="L46" s="5"/>
      <c r="M46" s="5"/>
      <c r="N46" s="5"/>
      <c r="O46" s="5"/>
      <c r="P46" s="5"/>
      <c r="Q46" s="5"/>
      <c r="R46" s="5"/>
    </row>
    <row r="47" spans="1:18" x14ac:dyDescent="0.3">
      <c r="A47" s="25" t="s">
        <v>12</v>
      </c>
      <c r="B47" s="26">
        <f>COUNTIFS(Data!$C$2:$C$21,$A47,Data!$F$2:$F$21,B$41)</f>
        <v>1</v>
      </c>
      <c r="C47" s="26">
        <f>COUNTIFS(Data!$C$2:$C$21,$A47,Data!$F$2:$F$21,C$41)</f>
        <v>2</v>
      </c>
      <c r="D47" s="26">
        <f>COUNTIFS(Data!$C$2:$C$21,$A47,Data!$F$2:$F$21,D$41)</f>
        <v>0</v>
      </c>
      <c r="E47" s="33">
        <f>COUNTIFS(Data!$C$2:$C$21,$A47,Data!$F$2:$F$21,E$41)</f>
        <v>0</v>
      </c>
      <c r="F47" s="5"/>
      <c r="G47" s="5"/>
      <c r="H47" s="5"/>
      <c r="I47" s="5"/>
      <c r="J47" s="5"/>
      <c r="K47" s="5"/>
      <c r="L47" s="5"/>
      <c r="M47" s="5"/>
      <c r="N47" s="5"/>
      <c r="O47" s="5"/>
      <c r="P47" s="5"/>
      <c r="Q47" s="5"/>
      <c r="R47" s="5"/>
    </row>
    <row r="48" spans="1:18" x14ac:dyDescent="0.3">
      <c r="A48" s="25" t="s">
        <v>8</v>
      </c>
      <c r="B48" s="26">
        <f>COUNTIFS(Data!$C$2:$C$21,$A48,Data!$F$2:$F$21,B$41)</f>
        <v>2</v>
      </c>
      <c r="C48" s="26">
        <f>COUNTIFS(Data!$C$2:$C$21,$A48,Data!$F$2:$F$21,C$41)</f>
        <v>2</v>
      </c>
      <c r="D48" s="26">
        <f>COUNTIFS(Data!$C$2:$C$21,$A48,Data!$F$2:$F$21,D$41)</f>
        <v>1</v>
      </c>
      <c r="E48" s="33">
        <f>COUNTIFS(Data!$C$2:$C$21,$A48,Data!$F$2:$F$21,E$41)</f>
        <v>1</v>
      </c>
      <c r="F48" s="5"/>
      <c r="G48" s="5"/>
      <c r="H48" s="5"/>
      <c r="I48" s="5"/>
      <c r="J48" s="5"/>
      <c r="K48" s="5"/>
      <c r="L48" s="5"/>
      <c r="M48" s="5"/>
      <c r="N48" s="5"/>
      <c r="O48" s="5"/>
      <c r="P48" s="5"/>
      <c r="Q48" s="5"/>
      <c r="R48" s="5"/>
    </row>
    <row r="49" spans="1:18" x14ac:dyDescent="0.3">
      <c r="A49" s="29" t="s">
        <v>69</v>
      </c>
      <c r="B49" s="30">
        <f>SUM(B42:B48)</f>
        <v>11</v>
      </c>
      <c r="C49" s="30">
        <f>SUM(C42:C48)</f>
        <v>5</v>
      </c>
      <c r="D49" s="30">
        <f>SUM(D42:D48)</f>
        <v>2</v>
      </c>
      <c r="E49" s="42">
        <f>SUM(E42:E48)</f>
        <v>2</v>
      </c>
      <c r="F49" s="5"/>
      <c r="G49" s="5"/>
      <c r="H49" s="5"/>
      <c r="I49" s="5"/>
      <c r="J49" s="5"/>
      <c r="K49" s="5"/>
      <c r="L49" s="5"/>
      <c r="M49" s="5"/>
      <c r="N49" s="5"/>
      <c r="O49" s="5"/>
      <c r="P49" s="5"/>
      <c r="Q49" s="5"/>
      <c r="R49" s="5"/>
    </row>
    <row r="50" spans="1:18" x14ac:dyDescent="0.3">
      <c r="A50" s="5"/>
      <c r="B50" s="5"/>
      <c r="C50" s="5"/>
      <c r="D50" s="5"/>
      <c r="E50" s="5"/>
      <c r="F50" s="5"/>
      <c r="G50" s="5"/>
      <c r="H50" s="5"/>
      <c r="I50" s="5"/>
      <c r="J50" s="5"/>
      <c r="K50" s="5"/>
      <c r="L50" s="5"/>
      <c r="M50" s="5"/>
      <c r="N50" s="5"/>
      <c r="O50" s="5"/>
      <c r="P50" s="5"/>
      <c r="Q50" s="5"/>
      <c r="R50" s="5"/>
    </row>
    <row r="51" spans="1:18" x14ac:dyDescent="0.3">
      <c r="A51" s="5"/>
      <c r="B51" s="5"/>
      <c r="C51" s="5"/>
      <c r="D51" s="5"/>
      <c r="E51" s="5"/>
      <c r="F51" s="5"/>
      <c r="G51" s="5"/>
      <c r="H51" s="5"/>
      <c r="I51" s="5"/>
      <c r="J51" s="5"/>
      <c r="K51" s="5"/>
      <c r="L51" s="5"/>
      <c r="M51" s="5"/>
      <c r="N51" s="5"/>
      <c r="O51" s="5"/>
      <c r="P51" s="5"/>
      <c r="Q51" s="5"/>
      <c r="R51" s="5"/>
    </row>
    <row r="52" spans="1:18" x14ac:dyDescent="0.3">
      <c r="A52" s="5"/>
      <c r="B52" s="5"/>
      <c r="C52" s="5"/>
      <c r="D52" s="5"/>
      <c r="E52" s="5"/>
      <c r="F52" s="5"/>
      <c r="G52" s="5"/>
      <c r="H52" s="5"/>
      <c r="I52" s="5"/>
      <c r="J52" s="5"/>
      <c r="K52" s="5"/>
      <c r="L52" s="5"/>
      <c r="M52" s="5"/>
      <c r="N52" s="5"/>
      <c r="O52" s="5"/>
      <c r="P52" s="5"/>
      <c r="Q52" s="5"/>
      <c r="R52" s="5"/>
    </row>
    <row r="53" spans="1:18" x14ac:dyDescent="0.3">
      <c r="A53" s="19" t="s">
        <v>72</v>
      </c>
      <c r="B53" s="20"/>
      <c r="C53" s="21"/>
      <c r="D53" s="5"/>
      <c r="E53" s="5"/>
      <c r="F53" s="5"/>
      <c r="G53" s="5"/>
      <c r="H53" s="5"/>
      <c r="I53" s="5"/>
      <c r="J53" s="5"/>
      <c r="K53" s="5"/>
      <c r="L53" s="5"/>
      <c r="M53" s="5"/>
      <c r="N53" s="5"/>
      <c r="O53" s="5"/>
      <c r="P53" s="5"/>
      <c r="Q53" s="5"/>
      <c r="R53" s="5"/>
    </row>
    <row r="54" spans="1:18" x14ac:dyDescent="0.3">
      <c r="A54" s="25"/>
      <c r="B54" s="26"/>
      <c r="C54" s="33"/>
      <c r="D54" s="5"/>
      <c r="E54" s="5"/>
      <c r="F54" s="5"/>
      <c r="G54" s="5"/>
      <c r="H54" s="5"/>
      <c r="I54" s="5"/>
      <c r="J54" s="5"/>
      <c r="K54" s="5"/>
      <c r="L54" s="5"/>
      <c r="M54" s="5"/>
      <c r="N54" s="5"/>
      <c r="O54" s="5"/>
      <c r="P54" s="5"/>
      <c r="Q54" s="5"/>
      <c r="R54" s="5"/>
    </row>
    <row r="55" spans="1:18" x14ac:dyDescent="0.3">
      <c r="A55" s="22" t="s">
        <v>73</v>
      </c>
      <c r="B55" s="23" t="s">
        <v>64</v>
      </c>
      <c r="C55" s="24" t="s">
        <v>68</v>
      </c>
      <c r="D55" s="5"/>
      <c r="E55" s="5"/>
      <c r="F55" s="5"/>
      <c r="G55" s="5"/>
      <c r="H55" s="5"/>
      <c r="I55" s="5"/>
      <c r="J55" s="5"/>
      <c r="K55" s="5"/>
      <c r="L55" s="5"/>
      <c r="M55" s="5"/>
      <c r="N55" s="5"/>
      <c r="O55" s="5"/>
      <c r="P55" s="5"/>
      <c r="Q55" s="5"/>
      <c r="R55" s="5"/>
    </row>
    <row r="56" spans="1:18" x14ac:dyDescent="0.3">
      <c r="A56" s="25" t="s">
        <v>74</v>
      </c>
      <c r="B56" s="26">
        <f>COUNTIFS(Data!$G$2:$G$21,"&gt;=0",Data!$G$2:$G$21,"&lt;=3")</f>
        <v>5</v>
      </c>
      <c r="C56" s="35">
        <f>B56/SUM($B$56:$B$59)</f>
        <v>0.25</v>
      </c>
      <c r="D56" s="5"/>
      <c r="E56" s="5"/>
      <c r="F56" s="5"/>
      <c r="G56" s="5"/>
      <c r="H56" s="5"/>
      <c r="I56" s="5"/>
      <c r="J56" s="5"/>
      <c r="K56" s="5"/>
      <c r="L56" s="5"/>
      <c r="M56" s="5"/>
      <c r="N56" s="5"/>
      <c r="O56" s="5"/>
      <c r="P56" s="5"/>
      <c r="Q56" s="5"/>
      <c r="R56" s="5"/>
    </row>
    <row r="57" spans="1:18" x14ac:dyDescent="0.3">
      <c r="A57" s="25" t="s">
        <v>75</v>
      </c>
      <c r="B57" s="26">
        <f>COUNTIFS(Data!$G$2:$G$21,"&gt;=4",Data!$G$2:$G$21,"&lt;=7")</f>
        <v>8</v>
      </c>
      <c r="C57" s="35">
        <f>B57/SUM($B$56:$B$59)</f>
        <v>0.4</v>
      </c>
      <c r="D57" s="5"/>
      <c r="E57" s="5"/>
      <c r="F57" s="5"/>
      <c r="G57" s="5"/>
      <c r="H57" s="5"/>
      <c r="I57" s="5"/>
      <c r="J57" s="5"/>
      <c r="K57" s="5"/>
      <c r="L57" s="5"/>
      <c r="M57" s="5"/>
      <c r="N57" s="5"/>
      <c r="O57" s="5"/>
      <c r="P57" s="5"/>
      <c r="Q57" s="5"/>
      <c r="R57" s="5"/>
    </row>
    <row r="58" spans="1:18" x14ac:dyDescent="0.3">
      <c r="A58" s="25" t="s">
        <v>76</v>
      </c>
      <c r="B58" s="26">
        <f>COUNTIFS(Data!$G$2:$G$21,"&gt;=8",Data!$G$2:$G$21,"&lt;=11")</f>
        <v>3</v>
      </c>
      <c r="C58" s="35">
        <f>B58/SUM($B$56:$B$59)</f>
        <v>0.15</v>
      </c>
      <c r="D58" s="5"/>
      <c r="E58" s="5"/>
      <c r="F58" s="5"/>
      <c r="G58" s="5"/>
      <c r="H58" s="5"/>
      <c r="I58" s="5"/>
      <c r="J58" s="5"/>
      <c r="K58" s="5"/>
      <c r="L58" s="5"/>
      <c r="M58" s="5"/>
      <c r="N58" s="5"/>
      <c r="O58" s="5"/>
      <c r="P58" s="5"/>
      <c r="Q58" s="5"/>
      <c r="R58" s="5"/>
    </row>
    <row r="59" spans="1:18" x14ac:dyDescent="0.3">
      <c r="A59" s="25" t="s">
        <v>77</v>
      </c>
      <c r="B59" s="26">
        <f>COUNTIF(Data!$G$2:$G$21,"&gt;=12")</f>
        <v>4</v>
      </c>
      <c r="C59" s="35">
        <f>B59/SUM($B$56:$B$59)</f>
        <v>0.2</v>
      </c>
      <c r="D59" s="5"/>
      <c r="E59" s="5"/>
      <c r="F59" s="5"/>
      <c r="G59" s="5"/>
      <c r="H59" s="5"/>
      <c r="I59" s="5"/>
      <c r="J59" s="5"/>
      <c r="K59" s="5"/>
      <c r="L59" s="5"/>
      <c r="M59" s="5"/>
      <c r="N59" s="5"/>
      <c r="O59" s="5"/>
      <c r="P59" s="5"/>
      <c r="Q59" s="5"/>
      <c r="R59" s="5"/>
    </row>
    <row r="60" spans="1:18" x14ac:dyDescent="0.3">
      <c r="A60" s="29" t="s">
        <v>69</v>
      </c>
      <c r="B60" s="30">
        <f>SUM(B56:B59)</f>
        <v>20</v>
      </c>
      <c r="C60" s="43">
        <f>SUM(C56:C59)</f>
        <v>1</v>
      </c>
      <c r="D60" s="5"/>
      <c r="E60" s="5"/>
      <c r="F60" s="5"/>
      <c r="G60" s="5"/>
      <c r="H60" s="5"/>
      <c r="I60" s="5"/>
      <c r="J60" s="5"/>
      <c r="K60" s="5"/>
      <c r="L60" s="5"/>
      <c r="M60" s="5"/>
      <c r="N60" s="5"/>
      <c r="O60" s="5"/>
      <c r="P60" s="5"/>
      <c r="Q60" s="5"/>
      <c r="R60" s="5"/>
    </row>
    <row r="61" spans="1:18" x14ac:dyDescent="0.3">
      <c r="A61" s="5"/>
      <c r="B61" s="5"/>
      <c r="C61" s="5"/>
      <c r="D61" s="5"/>
      <c r="E61" s="5"/>
      <c r="F61" s="5"/>
      <c r="G61" s="5"/>
      <c r="H61" s="5"/>
      <c r="I61" s="5"/>
      <c r="J61" s="5"/>
      <c r="K61" s="5"/>
      <c r="L61" s="5"/>
      <c r="M61" s="5"/>
      <c r="N61" s="5"/>
      <c r="O61" s="5"/>
      <c r="P61" s="5"/>
      <c r="Q61" s="5"/>
      <c r="R61" s="5"/>
    </row>
    <row r="62" spans="1:18" x14ac:dyDescent="0.3">
      <c r="A62" s="5"/>
      <c r="B62" s="5"/>
      <c r="C62" s="5"/>
      <c r="D62" s="5"/>
      <c r="E62" s="5"/>
      <c r="F62" s="5"/>
      <c r="G62" s="5"/>
      <c r="H62" s="5"/>
      <c r="I62" s="5"/>
      <c r="J62" s="5"/>
      <c r="K62" s="5"/>
      <c r="L62" s="5"/>
      <c r="M62" s="5"/>
      <c r="N62" s="5"/>
      <c r="O62" s="5"/>
      <c r="P62" s="5"/>
      <c r="Q62" s="5"/>
      <c r="R62" s="5"/>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9711C4-7AFE-40B3-9772-8E65FCD0AD8A}">
  <sheetPr>
    <tabColor theme="0"/>
  </sheetPr>
  <dimension ref="A1:R49"/>
  <sheetViews>
    <sheetView workbookViewId="0">
      <selection activeCell="C26" sqref="C26"/>
    </sheetView>
  </sheetViews>
  <sheetFormatPr defaultRowHeight="14.4" x14ac:dyDescent="0.3"/>
  <cols>
    <col min="1" max="1" width="33.21875" style="46" bestFit="1" customWidth="1"/>
    <col min="2" max="2" width="21.44140625" style="46" bestFit="1" customWidth="1"/>
    <col min="3" max="18" width="17.5546875" style="46" customWidth="1"/>
    <col min="19" max="21" width="5" bestFit="1" customWidth="1"/>
    <col min="22" max="22" width="10.77734375" bestFit="1" customWidth="1"/>
  </cols>
  <sheetData>
    <row r="1" spans="1:14" ht="21" x14ac:dyDescent="0.4">
      <c r="A1" s="55" t="s">
        <v>78</v>
      </c>
      <c r="B1" s="54"/>
      <c r="C1" s="54"/>
      <c r="D1" s="54"/>
      <c r="E1" s="54"/>
      <c r="F1" s="54"/>
      <c r="G1" s="56"/>
    </row>
    <row r="2" spans="1:14" x14ac:dyDescent="0.3">
      <c r="A2" s="74" t="s">
        <v>48</v>
      </c>
      <c r="B2" s="74"/>
      <c r="C2" s="74"/>
      <c r="D2" s="74"/>
      <c r="E2" s="74"/>
      <c r="F2" s="74"/>
      <c r="G2" s="74"/>
    </row>
    <row r="3" spans="1:14" x14ac:dyDescent="0.3">
      <c r="A3" s="57" t="s">
        <v>45</v>
      </c>
      <c r="B3" s="57" t="s">
        <v>46</v>
      </c>
      <c r="C3" s="57" t="s">
        <v>47</v>
      </c>
      <c r="D3" s="57" t="s">
        <v>19</v>
      </c>
      <c r="E3" s="57" t="s">
        <v>10</v>
      </c>
      <c r="F3" s="57" t="s">
        <v>14</v>
      </c>
      <c r="G3" s="57" t="s">
        <v>28</v>
      </c>
    </row>
    <row r="4" spans="1:14" x14ac:dyDescent="0.3">
      <c r="A4" s="53">
        <v>6.6</v>
      </c>
      <c r="B4" s="53">
        <v>2.7</v>
      </c>
      <c r="C4" s="53">
        <v>20</v>
      </c>
      <c r="D4" s="53">
        <v>10</v>
      </c>
      <c r="E4" s="53">
        <v>55.000000000000007</v>
      </c>
      <c r="F4" s="53">
        <v>25</v>
      </c>
      <c r="G4" s="53">
        <v>10</v>
      </c>
    </row>
    <row r="5" spans="1:14" x14ac:dyDescent="0.3">
      <c r="A5" s="53"/>
      <c r="B5" s="53"/>
      <c r="C5" s="53"/>
      <c r="D5" s="53"/>
      <c r="E5" s="53"/>
      <c r="F5" s="53"/>
      <c r="G5" s="53"/>
      <c r="H5" s="49"/>
      <c r="I5" s="49"/>
      <c r="J5" s="50"/>
      <c r="K5" s="51"/>
      <c r="L5" s="51"/>
      <c r="M5" s="51"/>
      <c r="N5" s="51"/>
    </row>
    <row r="6" spans="1:14" x14ac:dyDescent="0.3">
      <c r="A6" s="53">
        <f>GETPIVOTDATA("Average of Delivery_Days",$A$3)</f>
        <v>6.6</v>
      </c>
      <c r="B6" s="53">
        <f>GETPIVOTDATA("Average of Quantity",$A$3)</f>
        <v>2.7</v>
      </c>
      <c r="C6" s="53">
        <f>GETPIVOTDATA("Count of Order_ID",$A$3)</f>
        <v>20</v>
      </c>
      <c r="D6" s="53">
        <f>D4</f>
        <v>10</v>
      </c>
      <c r="E6" s="53">
        <f>E4</f>
        <v>55.000000000000007</v>
      </c>
      <c r="F6" s="53">
        <f>F4</f>
        <v>25</v>
      </c>
      <c r="G6" s="53">
        <f>G4</f>
        <v>10</v>
      </c>
      <c r="H6" s="49"/>
      <c r="I6" s="49"/>
      <c r="J6" s="50"/>
      <c r="K6" s="51"/>
      <c r="L6" s="51"/>
      <c r="M6" s="51"/>
      <c r="N6" s="51"/>
    </row>
    <row r="7" spans="1:14" x14ac:dyDescent="0.3">
      <c r="A7" s="47"/>
      <c r="B7" s="47"/>
      <c r="C7" s="48"/>
      <c r="D7" s="48"/>
      <c r="E7" s="48"/>
      <c r="F7" s="48"/>
      <c r="G7" s="48"/>
      <c r="H7" s="49"/>
      <c r="I7" s="49"/>
      <c r="J7" s="50"/>
      <c r="K7" s="51"/>
      <c r="L7" s="51"/>
      <c r="M7" s="51"/>
      <c r="N7" s="51"/>
    </row>
    <row r="9" spans="1:14" x14ac:dyDescent="0.3">
      <c r="A9" s="75" t="s">
        <v>49</v>
      </c>
      <c r="B9" s="76"/>
    </row>
    <row r="10" spans="1:14" x14ac:dyDescent="0.3">
      <c r="A10" s="58" t="s">
        <v>43</v>
      </c>
      <c r="B10" s="58" t="s">
        <v>45</v>
      </c>
    </row>
    <row r="11" spans="1:14" x14ac:dyDescent="0.3">
      <c r="A11" s="59" t="s">
        <v>16</v>
      </c>
      <c r="B11" s="62">
        <v>4.333333333333333</v>
      </c>
    </row>
    <row r="12" spans="1:14" x14ac:dyDescent="0.3">
      <c r="A12" s="59" t="s">
        <v>9</v>
      </c>
      <c r="B12" s="63">
        <v>5.8</v>
      </c>
    </row>
    <row r="13" spans="1:14" x14ac:dyDescent="0.3">
      <c r="A13" s="59" t="s">
        <v>18</v>
      </c>
      <c r="B13" s="63">
        <v>3</v>
      </c>
    </row>
    <row r="14" spans="1:14" x14ac:dyDescent="0.3">
      <c r="A14" s="59" t="s">
        <v>13</v>
      </c>
      <c r="B14" s="63">
        <v>10.75</v>
      </c>
    </row>
    <row r="15" spans="1:14" x14ac:dyDescent="0.3">
      <c r="A15" s="59" t="s">
        <v>22</v>
      </c>
      <c r="B15" s="63">
        <v>6</v>
      </c>
    </row>
    <row r="16" spans="1:14" ht="15" thickBot="1" x14ac:dyDescent="0.35">
      <c r="A16" s="60" t="s">
        <v>26</v>
      </c>
      <c r="B16" s="64">
        <v>10</v>
      </c>
    </row>
    <row r="17" spans="1:2" ht="15" thickBot="1" x14ac:dyDescent="0.35">
      <c r="A17" s="61" t="s">
        <v>44</v>
      </c>
      <c r="B17" s="71">
        <v>6.6</v>
      </c>
    </row>
    <row r="18" spans="1:2" x14ac:dyDescent="0.3">
      <c r="A18" s="52"/>
      <c r="B18" s="50"/>
    </row>
    <row r="20" spans="1:2" x14ac:dyDescent="0.3">
      <c r="A20" s="75" t="s">
        <v>50</v>
      </c>
      <c r="B20" s="76"/>
    </row>
    <row r="21" spans="1:2" x14ac:dyDescent="0.3">
      <c r="A21" s="58" t="s">
        <v>43</v>
      </c>
      <c r="B21" s="58" t="s">
        <v>45</v>
      </c>
    </row>
    <row r="22" spans="1:2" x14ac:dyDescent="0.3">
      <c r="A22" s="59" t="s">
        <v>20</v>
      </c>
      <c r="B22" s="62">
        <v>4.5</v>
      </c>
    </row>
    <row r="23" spans="1:2" x14ac:dyDescent="0.3">
      <c r="A23" s="59" t="s">
        <v>24</v>
      </c>
      <c r="B23" s="63">
        <v>9.6666666666666661</v>
      </c>
    </row>
    <row r="24" spans="1:2" x14ac:dyDescent="0.3">
      <c r="A24" s="59" t="s">
        <v>15</v>
      </c>
      <c r="B24" s="63">
        <v>6</v>
      </c>
    </row>
    <row r="25" spans="1:2" x14ac:dyDescent="0.3">
      <c r="A25" s="59" t="s">
        <v>33</v>
      </c>
      <c r="B25" s="63">
        <v>3</v>
      </c>
    </row>
    <row r="26" spans="1:2" x14ac:dyDescent="0.3">
      <c r="A26" s="59" t="s">
        <v>30</v>
      </c>
      <c r="B26" s="63">
        <v>4.5</v>
      </c>
    </row>
    <row r="27" spans="1:2" x14ac:dyDescent="0.3">
      <c r="A27" s="59" t="s">
        <v>12</v>
      </c>
      <c r="B27" s="63">
        <v>9.6666666666666661</v>
      </c>
    </row>
    <row r="28" spans="1:2" ht="15" thickBot="1" x14ac:dyDescent="0.35">
      <c r="A28" s="60" t="s">
        <v>8</v>
      </c>
      <c r="B28" s="64">
        <v>5.833333333333333</v>
      </c>
    </row>
    <row r="29" spans="1:2" ht="15" thickBot="1" x14ac:dyDescent="0.35">
      <c r="A29" s="61" t="s">
        <v>44</v>
      </c>
      <c r="B29" s="71">
        <v>6.6</v>
      </c>
    </row>
    <row r="32" spans="1:2" x14ac:dyDescent="0.3">
      <c r="A32" s="75" t="s">
        <v>51</v>
      </c>
      <c r="B32" s="76"/>
    </row>
    <row r="33" spans="1:2" x14ac:dyDescent="0.3">
      <c r="A33" s="58" t="s">
        <v>43</v>
      </c>
      <c r="B33" s="58" t="s">
        <v>47</v>
      </c>
    </row>
    <row r="34" spans="1:2" x14ac:dyDescent="0.3">
      <c r="A34" s="59" t="s">
        <v>19</v>
      </c>
      <c r="B34" s="65">
        <v>2</v>
      </c>
    </row>
    <row r="35" spans="1:2" x14ac:dyDescent="0.3">
      <c r="A35" s="59" t="s">
        <v>10</v>
      </c>
      <c r="B35" s="66">
        <v>11</v>
      </c>
    </row>
    <row r="36" spans="1:2" x14ac:dyDescent="0.3">
      <c r="A36" s="59" t="s">
        <v>14</v>
      </c>
      <c r="B36" s="66">
        <v>5</v>
      </c>
    </row>
    <row r="37" spans="1:2" ht="15" thickBot="1" x14ac:dyDescent="0.35">
      <c r="A37" s="60" t="s">
        <v>28</v>
      </c>
      <c r="B37" s="67">
        <v>2</v>
      </c>
    </row>
    <row r="38" spans="1:2" ht="15" thickBot="1" x14ac:dyDescent="0.35">
      <c r="A38" s="61" t="s">
        <v>44</v>
      </c>
      <c r="B38" s="72">
        <v>20</v>
      </c>
    </row>
    <row r="41" spans="1:2" x14ac:dyDescent="0.3">
      <c r="A41" s="75" t="s">
        <v>52</v>
      </c>
      <c r="B41" s="76"/>
    </row>
    <row r="42" spans="1:2" x14ac:dyDescent="0.3">
      <c r="A42" s="58" t="s">
        <v>43</v>
      </c>
      <c r="B42" s="58" t="s">
        <v>47</v>
      </c>
    </row>
    <row r="43" spans="1:2" x14ac:dyDescent="0.3">
      <c r="A43" s="59" t="s">
        <v>16</v>
      </c>
      <c r="B43" s="68">
        <v>0.15</v>
      </c>
    </row>
    <row r="44" spans="1:2" x14ac:dyDescent="0.3">
      <c r="A44" s="59" t="s">
        <v>9</v>
      </c>
      <c r="B44" s="69">
        <v>0.25</v>
      </c>
    </row>
    <row r="45" spans="1:2" x14ac:dyDescent="0.3">
      <c r="A45" s="59" t="s">
        <v>18</v>
      </c>
      <c r="B45" s="69">
        <v>0.15</v>
      </c>
    </row>
    <row r="46" spans="1:2" x14ac:dyDescent="0.3">
      <c r="A46" s="59" t="s">
        <v>13</v>
      </c>
      <c r="B46" s="69">
        <v>0.2</v>
      </c>
    </row>
    <row r="47" spans="1:2" x14ac:dyDescent="0.3">
      <c r="A47" s="59" t="s">
        <v>22</v>
      </c>
      <c r="B47" s="69">
        <v>0.15</v>
      </c>
    </row>
    <row r="48" spans="1:2" ht="15" thickBot="1" x14ac:dyDescent="0.35">
      <c r="A48" s="60" t="s">
        <v>26</v>
      </c>
      <c r="B48" s="70">
        <v>0.1</v>
      </c>
    </row>
    <row r="49" spans="1:2" ht="15" thickBot="1" x14ac:dyDescent="0.35">
      <c r="A49" s="61" t="s">
        <v>44</v>
      </c>
      <c r="B49" s="73">
        <v>1</v>
      </c>
    </row>
  </sheetData>
  <mergeCells count="5">
    <mergeCell ref="A2:G2"/>
    <mergeCell ref="A9:B9"/>
    <mergeCell ref="A20:B20"/>
    <mergeCell ref="A32:B32"/>
    <mergeCell ref="A41:B41"/>
  </mergeCells>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BC5929-BA5C-4A94-88EF-EA5C98BE8B3E}">
  <dimension ref="A1"/>
  <sheetViews>
    <sheetView showGridLines="0" showRowColHeaders="0" tabSelected="1" topLeftCell="A2" zoomScaleNormal="100" workbookViewId="0">
      <selection activeCell="A11" sqref="A11"/>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Chartes</vt:lpstr>
      <vt:lpstr>Pivot Analysis</vt:lpstr>
      <vt:lpstr>Dashbored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vivek mali</dc:creator>
  <cp:lastModifiedBy>vivek mali</cp:lastModifiedBy>
  <dcterms:created xsi:type="dcterms:W3CDTF">2026-05-16T04:43:52Z</dcterms:created>
  <dcterms:modified xsi:type="dcterms:W3CDTF">2026-05-17T08:26:03Z</dcterms:modified>
</cp:coreProperties>
</file>